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mbaez\Desktop\"/>
    </mc:Choice>
  </mc:AlternateContent>
  <bookViews>
    <workbookView xWindow="0" yWindow="0" windowWidth="19200" windowHeight="6470" firstSheet="4" activeTab="11"/>
  </bookViews>
  <sheets>
    <sheet name="Enero" sheetId="4" r:id="rId1"/>
    <sheet name="Febrero" sheetId="28" r:id="rId2"/>
    <sheet name="Marzo" sheetId="21" r:id="rId3"/>
    <sheet name="Abril" sheetId="20" r:id="rId4"/>
    <sheet name="Mayo" sheetId="19" r:id="rId5"/>
    <sheet name="Junio" sheetId="18" r:id="rId6"/>
    <sheet name="Julio" sheetId="22" r:id="rId7"/>
    <sheet name="Agosto" sheetId="23" r:id="rId8"/>
    <sheet name="Septiembre" sheetId="24" r:id="rId9"/>
    <sheet name="Octubre" sheetId="25" r:id="rId10"/>
    <sheet name="Noviembre" sheetId="26" r:id="rId11"/>
    <sheet name="Diciembre" sheetId="27" r:id="rId12"/>
    <sheet name="Settings" sheetId="3" r:id="rId13"/>
    <sheet name="LISTAS" sheetId="2" state="hidden" r:id="rId14"/>
  </sheets>
  <functionGroups builtInGroupCount="18"/>
  <definedNames>
    <definedName name="Anualidad">Settings!$B$4</definedName>
    <definedName name="DiaSemanaIntensiva">Settings!$B$10</definedName>
    <definedName name="DiasIntensiva">Settings!$I$3:$I$38</definedName>
    <definedName name="DiasVacaciones">Settings!$F$3:$F$38</definedName>
    <definedName name="Entradamananaintensiva">Settings!$B$24</definedName>
    <definedName name="EntradaMañana">Settings!$B$14</definedName>
    <definedName name="EntradaTarde">Settings!$B$18</definedName>
    <definedName name="Horas">LISTAS!$C$1:$C$53</definedName>
    <definedName name="HorasIntensiva">Settings!$B$8</definedName>
    <definedName name="HorasOrdinarias">Settings!$B$6</definedName>
    <definedName name="manana1" localSheetId="3">Abril!$E$3:$E$33</definedName>
    <definedName name="manana1" localSheetId="7">Agosto!$E$3:$E$33</definedName>
    <definedName name="manana1" localSheetId="11">Diciembre!$E$3:$E$33</definedName>
    <definedName name="manana1" localSheetId="1">Febrero!$E$3:$E$33</definedName>
    <definedName name="manana1" localSheetId="6">Julio!$E$3:$E$33</definedName>
    <definedName name="manana1" localSheetId="5">Junio!$E$3:$E$33</definedName>
    <definedName name="manana1" localSheetId="2">Marzo!$E$3:$E$33</definedName>
    <definedName name="manana1" localSheetId="4">Mayo!$E$3:$E$33</definedName>
    <definedName name="manana1" localSheetId="10">Noviembre!$E$3:$E$33</definedName>
    <definedName name="manana1" localSheetId="9">Octubre!$E$3:$E$33</definedName>
    <definedName name="manana1" localSheetId="8">Septiembre!$E$3:$E$33</definedName>
    <definedName name="manana1">Enero!$E$3:$E$33</definedName>
    <definedName name="manana2" localSheetId="3">Abril!$G$3:$G$33</definedName>
    <definedName name="manana2" localSheetId="7">Agosto!$G$3:$G$33</definedName>
    <definedName name="manana2" localSheetId="11">Diciembre!$G$3:$G$33</definedName>
    <definedName name="manana2" localSheetId="1">Febrero!$G$3:$G$33</definedName>
    <definedName name="manana2" localSheetId="6">Julio!$G$3:$G$33</definedName>
    <definedName name="manana2" localSheetId="5">Junio!$G$3:$G$33</definedName>
    <definedName name="manana2" localSheetId="2">Marzo!$G$3:$G$33</definedName>
    <definedName name="manana2" localSheetId="4">Mayo!$G$3:$G$33</definedName>
    <definedName name="manana2" localSheetId="10">Noviembre!$G$3:$G$33</definedName>
    <definedName name="manana2" localSheetId="9">Octubre!$G$3:$G$33</definedName>
    <definedName name="manana2" localSheetId="8">Septiembre!$G$3:$G$33</definedName>
    <definedName name="manana2">Enero!$G$3:$G$33</definedName>
    <definedName name="NOMBRE" localSheetId="3">Abril!$B$1</definedName>
    <definedName name="NOMBRE" localSheetId="7">Agosto!$B$1</definedName>
    <definedName name="NOMBRE" localSheetId="11">Diciembre!$B$1</definedName>
    <definedName name="NOMBRE" localSheetId="1">Febrero!$B$1</definedName>
    <definedName name="NOMBRE" localSheetId="6">Julio!$B$1</definedName>
    <definedName name="NOMBRE" localSheetId="5">Junio!$B$1</definedName>
    <definedName name="NOMBRE" localSheetId="2">Marzo!$B$1</definedName>
    <definedName name="NOMBRE" localSheetId="4">Mayo!$B$1</definedName>
    <definedName name="NOMBRE" localSheetId="10">Noviembre!$B$1</definedName>
    <definedName name="NOMBRE" localSheetId="9">Octubre!$B$1</definedName>
    <definedName name="NOMBRE" localSheetId="8">Septiembre!$B$1</definedName>
    <definedName name="NOMBRE">Enero!$B$1</definedName>
    <definedName name="SalidaManana">Settings!$B$16</definedName>
    <definedName name="Salidamananaintensiva">Settings!$B$26</definedName>
    <definedName name="SalidaTarde">Settings!$B$20</definedName>
    <definedName name="tarde1" localSheetId="3">Abril!$I$3:$I$33</definedName>
    <definedName name="tarde1" localSheetId="7">Agosto!$I$3:$I$33</definedName>
    <definedName name="tarde1" localSheetId="11">Diciembre!$I$3:$I$33</definedName>
    <definedName name="tarde1" localSheetId="1">Febrero!$I$3:$I$33</definedName>
    <definedName name="tarde1" localSheetId="6">Julio!$I$3:$I$33</definedName>
    <definedName name="tarde1" localSheetId="5">Junio!$I$3:$I$33</definedName>
    <definedName name="tarde1" localSheetId="2">Marzo!$I$3:$I$33</definedName>
    <definedName name="tarde1" localSheetId="4">Mayo!$I$3:$I$33</definedName>
    <definedName name="tarde1" localSheetId="10">Noviembre!$I$3:$I$33</definedName>
    <definedName name="tarde1" localSheetId="9">Octubre!$I$3:$I$33</definedName>
    <definedName name="tarde1" localSheetId="8">Septiembre!$I$3:$I$33</definedName>
    <definedName name="tarde1">Enero!$I$3:$I$33</definedName>
    <definedName name="tarde2" localSheetId="3">Abril!$K$3:$K$33</definedName>
    <definedName name="tarde2" localSheetId="7">Agosto!$K$3:$K$33</definedName>
    <definedName name="tarde2" localSheetId="11">Diciembre!$K$3:$K$33</definedName>
    <definedName name="tarde2" localSheetId="1">Febrero!$K$3:$K$33</definedName>
    <definedName name="tarde2" localSheetId="6">Julio!$K$3:$K$33</definedName>
    <definedName name="tarde2" localSheetId="5">Junio!$K$3:$K$33</definedName>
    <definedName name="tarde2" localSheetId="2">Marzo!$K$3:$K$33</definedName>
    <definedName name="tarde2" localSheetId="4">Mayo!$K$3:$K$33</definedName>
    <definedName name="tarde2" localSheetId="10">Noviembre!$K$3:$K$33</definedName>
    <definedName name="tarde2" localSheetId="9">Octubre!$K$3:$K$33</definedName>
    <definedName name="tarde2" localSheetId="8">Septiembre!$K$3:$K$33</definedName>
    <definedName name="tarde2">Enero!$K$3:$K$33</definedName>
    <definedName name="tipoJornada">Settings!$B$2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28" l="1"/>
  <c r="AA33" i="28" s="1"/>
  <c r="C32" i="28"/>
  <c r="AA32" i="28" s="1"/>
  <c r="C31" i="28"/>
  <c r="Y31" i="28" s="1"/>
  <c r="C30" i="28"/>
  <c r="Y30" i="28" s="1"/>
  <c r="C29" i="28"/>
  <c r="AA29" i="28" s="1"/>
  <c r="C28" i="28"/>
  <c r="Y28" i="28" s="1"/>
  <c r="C27" i="28"/>
  <c r="Y27" i="28" s="1"/>
  <c r="C26" i="28"/>
  <c r="AA26" i="28" s="1"/>
  <c r="C25" i="28"/>
  <c r="AA25" i="28" s="1"/>
  <c r="C24" i="28"/>
  <c r="Y24" i="28" s="1"/>
  <c r="C23" i="28"/>
  <c r="Y23" i="28" s="1"/>
  <c r="C22" i="28"/>
  <c r="C21" i="28"/>
  <c r="W21" i="28" s="1"/>
  <c r="C20" i="28"/>
  <c r="Y20" i="28" s="1"/>
  <c r="C19" i="28"/>
  <c r="Y19" i="28" s="1"/>
  <c r="C18" i="28"/>
  <c r="Y18" i="28" s="1"/>
  <c r="C17" i="28"/>
  <c r="W17" i="28" s="1"/>
  <c r="C16" i="28"/>
  <c r="Y16" i="28" s="1"/>
  <c r="C15" i="28"/>
  <c r="Y15" i="28" s="1"/>
  <c r="C14" i="28"/>
  <c r="Y14" i="28" s="1"/>
  <c r="C13" i="28"/>
  <c r="Y13" i="28" s="1"/>
  <c r="C12" i="28"/>
  <c r="Y12" i="28" s="1"/>
  <c r="C11" i="28"/>
  <c r="W11" i="28" s="1"/>
  <c r="C10" i="28"/>
  <c r="C9" i="28"/>
  <c r="AA9" i="28" s="1"/>
  <c r="C8" i="28"/>
  <c r="Y8" i="28" s="1"/>
  <c r="C7" i="28"/>
  <c r="W7" i="28" s="1"/>
  <c r="C6" i="28"/>
  <c r="C5" i="28"/>
  <c r="AA5" i="28" s="1"/>
  <c r="C4" i="28"/>
  <c r="Y4" i="28" s="1"/>
  <c r="C3" i="28"/>
  <c r="Y3" i="28" s="1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33" i="27"/>
  <c r="Y33" i="27" s="1"/>
  <c r="C32" i="27"/>
  <c r="Y32" i="27" s="1"/>
  <c r="C31" i="27"/>
  <c r="C30" i="27"/>
  <c r="AA30" i="27" s="1"/>
  <c r="C29" i="27"/>
  <c r="Y29" i="27" s="1"/>
  <c r="C28" i="27"/>
  <c r="Y28" i="27" s="1"/>
  <c r="C27" i="27"/>
  <c r="C26" i="27"/>
  <c r="AA26" i="27" s="1"/>
  <c r="C25" i="27"/>
  <c r="Y25" i="27" s="1"/>
  <c r="C24" i="27"/>
  <c r="Y24" i="27" s="1"/>
  <c r="C23" i="27"/>
  <c r="C22" i="27"/>
  <c r="AA22" i="27" s="1"/>
  <c r="C21" i="27"/>
  <c r="Y21" i="27" s="1"/>
  <c r="C20" i="27"/>
  <c r="Y20" i="27" s="1"/>
  <c r="C19" i="27"/>
  <c r="Y19" i="27" s="1"/>
  <c r="C18" i="27"/>
  <c r="Y18" i="27" s="1"/>
  <c r="C17" i="27"/>
  <c r="Y17" i="27" s="1"/>
  <c r="C16" i="27"/>
  <c r="Y16" i="27" s="1"/>
  <c r="C15" i="27"/>
  <c r="Y15" i="27" s="1"/>
  <c r="C14" i="27"/>
  <c r="C13" i="27"/>
  <c r="Y13" i="27" s="1"/>
  <c r="C12" i="27"/>
  <c r="Y12" i="27" s="1"/>
  <c r="C11" i="27"/>
  <c r="W11" i="27" s="1"/>
  <c r="C10" i="27"/>
  <c r="C9" i="27"/>
  <c r="AA9" i="27" s="1"/>
  <c r="C8" i="27"/>
  <c r="Y8" i="27" s="1"/>
  <c r="C7" i="27"/>
  <c r="W7" i="27" s="1"/>
  <c r="C6" i="27"/>
  <c r="C5" i="27"/>
  <c r="Y5" i="27" s="1"/>
  <c r="C4" i="27"/>
  <c r="Y4" i="27" s="1"/>
  <c r="C3" i="27"/>
  <c r="Y3" i="27" s="1"/>
  <c r="C33" i="26"/>
  <c r="Y33" i="26" s="1"/>
  <c r="C32" i="26"/>
  <c r="Y32" i="26" s="1"/>
  <c r="C31" i="26"/>
  <c r="C30" i="26"/>
  <c r="AA30" i="26" s="1"/>
  <c r="C29" i="26"/>
  <c r="Y29" i="26" s="1"/>
  <c r="C28" i="26"/>
  <c r="Y28" i="26" s="1"/>
  <c r="C27" i="26"/>
  <c r="C26" i="26"/>
  <c r="AA26" i="26" s="1"/>
  <c r="C25" i="26"/>
  <c r="AA25" i="26" s="1"/>
  <c r="C24" i="26"/>
  <c r="Y24" i="26" s="1"/>
  <c r="C23" i="26"/>
  <c r="Y23" i="26" s="1"/>
  <c r="C22" i="26"/>
  <c r="C21" i="26"/>
  <c r="Y21" i="26" s="1"/>
  <c r="C20" i="26"/>
  <c r="Y20" i="26" s="1"/>
  <c r="C19" i="26"/>
  <c r="Y19" i="26" s="1"/>
  <c r="C18" i="26"/>
  <c r="C17" i="26"/>
  <c r="AA17" i="26" s="1"/>
  <c r="C16" i="26"/>
  <c r="Y16" i="26" s="1"/>
  <c r="C15" i="26"/>
  <c r="Y15" i="26" s="1"/>
  <c r="C14" i="26"/>
  <c r="Y14" i="26" s="1"/>
  <c r="C13" i="26"/>
  <c r="AA13" i="26" s="1"/>
  <c r="C12" i="26"/>
  <c r="Y12" i="26" s="1"/>
  <c r="C11" i="26"/>
  <c r="Y11" i="26" s="1"/>
  <c r="C10" i="26"/>
  <c r="Y10" i="26" s="1"/>
  <c r="C9" i="26"/>
  <c r="W9" i="26" s="1"/>
  <c r="C8" i="26"/>
  <c r="Y8" i="26" s="1"/>
  <c r="C7" i="26"/>
  <c r="Y7" i="26" s="1"/>
  <c r="C6" i="26"/>
  <c r="Y6" i="26" s="1"/>
  <c r="C5" i="26"/>
  <c r="Y5" i="26" s="1"/>
  <c r="C4" i="26"/>
  <c r="AA4" i="26" s="1"/>
  <c r="C3" i="26"/>
  <c r="W3" i="26" s="1"/>
  <c r="C33" i="25"/>
  <c r="C32" i="25"/>
  <c r="Y32" i="25" s="1"/>
  <c r="C31" i="25"/>
  <c r="Y31" i="25" s="1"/>
  <c r="C30" i="25"/>
  <c r="AA30" i="25" s="1"/>
  <c r="C29" i="25"/>
  <c r="AA29" i="25" s="1"/>
  <c r="C28" i="25"/>
  <c r="Y28" i="25" s="1"/>
  <c r="C27" i="25"/>
  <c r="Y27" i="25" s="1"/>
  <c r="C26" i="25"/>
  <c r="AA26" i="25" s="1"/>
  <c r="C25" i="25"/>
  <c r="AA25" i="25" s="1"/>
  <c r="C24" i="25"/>
  <c r="C23" i="25"/>
  <c r="C22" i="25"/>
  <c r="AA22" i="25" s="1"/>
  <c r="C21" i="25"/>
  <c r="Y21" i="25" s="1"/>
  <c r="C20" i="25"/>
  <c r="AA20" i="25" s="1"/>
  <c r="C19" i="25"/>
  <c r="C18" i="25"/>
  <c r="C17" i="25"/>
  <c r="W17" i="25" s="1"/>
  <c r="C16" i="25"/>
  <c r="Y16" i="25" s="1"/>
  <c r="C15" i="25"/>
  <c r="C14" i="25"/>
  <c r="Y14" i="25" s="1"/>
  <c r="C13" i="25"/>
  <c r="Y13" i="25" s="1"/>
  <c r="C12" i="25"/>
  <c r="Y12" i="25" s="1"/>
  <c r="C11" i="25"/>
  <c r="W11" i="25" s="1"/>
  <c r="C10" i="25"/>
  <c r="Y10" i="25" s="1"/>
  <c r="C9" i="25"/>
  <c r="Y9" i="25" s="1"/>
  <c r="C8" i="25"/>
  <c r="Y8" i="25" s="1"/>
  <c r="C7" i="25"/>
  <c r="W7" i="25" s="1"/>
  <c r="C6" i="25"/>
  <c r="B6" i="25" s="1"/>
  <c r="C5" i="25"/>
  <c r="Y5" i="25" s="1"/>
  <c r="C4" i="25"/>
  <c r="Y4" i="25" s="1"/>
  <c r="C3" i="25"/>
  <c r="Y3" i="25" s="1"/>
  <c r="C33" i="24"/>
  <c r="Y33" i="24" s="1"/>
  <c r="C32" i="24"/>
  <c r="C31" i="24"/>
  <c r="C30" i="24"/>
  <c r="AA30" i="24" s="1"/>
  <c r="C29" i="24"/>
  <c r="AA29" i="24" s="1"/>
  <c r="C28" i="24"/>
  <c r="Y28" i="24" s="1"/>
  <c r="C27" i="24"/>
  <c r="C26" i="24"/>
  <c r="AA26" i="24" s="1"/>
  <c r="C25" i="24"/>
  <c r="C24" i="24"/>
  <c r="Y24" i="24" s="1"/>
  <c r="C23" i="24"/>
  <c r="C22" i="24"/>
  <c r="C21" i="24"/>
  <c r="Y21" i="24" s="1"/>
  <c r="C20" i="24"/>
  <c r="W20" i="24" s="1"/>
  <c r="C19" i="24"/>
  <c r="B19" i="24" s="1"/>
  <c r="C18" i="24"/>
  <c r="Y18" i="24" s="1"/>
  <c r="C17" i="24"/>
  <c r="Y17" i="24" s="1"/>
  <c r="C16" i="24"/>
  <c r="Y16" i="24" s="1"/>
  <c r="C15" i="24"/>
  <c r="C14" i="24"/>
  <c r="Y14" i="24" s="1"/>
  <c r="C13" i="24"/>
  <c r="Y13" i="24" s="1"/>
  <c r="C12" i="24"/>
  <c r="Y12" i="24" s="1"/>
  <c r="C11" i="24"/>
  <c r="AA11" i="24" s="1"/>
  <c r="C10" i="24"/>
  <c r="Y10" i="24" s="1"/>
  <c r="C9" i="24"/>
  <c r="Y9" i="24" s="1"/>
  <c r="C8" i="24"/>
  <c r="Y8" i="24" s="1"/>
  <c r="C7" i="24"/>
  <c r="AA7" i="24" s="1"/>
  <c r="C6" i="24"/>
  <c r="Y6" i="24" s="1"/>
  <c r="C5" i="24"/>
  <c r="W5" i="24" s="1"/>
  <c r="C4" i="24"/>
  <c r="C3" i="24"/>
  <c r="AA3" i="24" s="1"/>
  <c r="C33" i="23"/>
  <c r="Y33" i="23" s="1"/>
  <c r="C32" i="23"/>
  <c r="C31" i="23"/>
  <c r="C30" i="23"/>
  <c r="C29" i="23"/>
  <c r="AA29" i="23" s="1"/>
  <c r="C28" i="23"/>
  <c r="C27" i="23"/>
  <c r="C26" i="23"/>
  <c r="AA26" i="23" s="1"/>
  <c r="C25" i="23"/>
  <c r="W25" i="23" s="1"/>
  <c r="C24" i="23"/>
  <c r="Y24" i="23" s="1"/>
  <c r="C23" i="23"/>
  <c r="Y23" i="23" s="1"/>
  <c r="C22" i="23"/>
  <c r="Y22" i="23" s="1"/>
  <c r="C21" i="23"/>
  <c r="C20" i="23"/>
  <c r="C19" i="23"/>
  <c r="C18" i="23"/>
  <c r="C17" i="23"/>
  <c r="W17" i="23" s="1"/>
  <c r="C16" i="23"/>
  <c r="B16" i="23" s="1"/>
  <c r="C15" i="23"/>
  <c r="Y15" i="23" s="1"/>
  <c r="C14" i="23"/>
  <c r="Y14" i="23" s="1"/>
  <c r="C13" i="23"/>
  <c r="AA13" i="23" s="1"/>
  <c r="C12" i="23"/>
  <c r="C11" i="23"/>
  <c r="C10" i="23"/>
  <c r="Y10" i="23" s="1"/>
  <c r="C9" i="23"/>
  <c r="C8" i="23"/>
  <c r="Y8" i="23" s="1"/>
  <c r="C7" i="23"/>
  <c r="C6" i="23"/>
  <c r="B6" i="23" s="1"/>
  <c r="C5" i="23"/>
  <c r="C4" i="23"/>
  <c r="AA4" i="23" s="1"/>
  <c r="C3" i="23"/>
  <c r="AA3" i="23" s="1"/>
  <c r="C33" i="22"/>
  <c r="Y33" i="22" s="1"/>
  <c r="C32" i="22"/>
  <c r="C31" i="22"/>
  <c r="C30" i="22"/>
  <c r="AA30" i="22" s="1"/>
  <c r="C29" i="22"/>
  <c r="AA29" i="22" s="1"/>
  <c r="C28" i="22"/>
  <c r="C27" i="22"/>
  <c r="C26" i="22"/>
  <c r="C25" i="22"/>
  <c r="W25" i="22" s="1"/>
  <c r="C24" i="22"/>
  <c r="Y24" i="22" s="1"/>
  <c r="C23" i="22"/>
  <c r="C22" i="22"/>
  <c r="AA22" i="22" s="1"/>
  <c r="C21" i="22"/>
  <c r="AA21" i="22" s="1"/>
  <c r="C20" i="22"/>
  <c r="Y20" i="22" s="1"/>
  <c r="C19" i="22"/>
  <c r="Y19" i="22" s="1"/>
  <c r="C18" i="22"/>
  <c r="Y18" i="22" s="1"/>
  <c r="C17" i="22"/>
  <c r="Y17" i="22" s="1"/>
  <c r="C16" i="22"/>
  <c r="C15" i="22"/>
  <c r="C14" i="22"/>
  <c r="C13" i="22"/>
  <c r="C12" i="22"/>
  <c r="Y12" i="22" s="1"/>
  <c r="C11" i="22"/>
  <c r="C10" i="22"/>
  <c r="C9" i="22"/>
  <c r="C8" i="22"/>
  <c r="Y8" i="22" s="1"/>
  <c r="C7" i="22"/>
  <c r="W7" i="22" s="1"/>
  <c r="C6" i="22"/>
  <c r="C5" i="22"/>
  <c r="AA5" i="22" s="1"/>
  <c r="C4" i="22"/>
  <c r="C3" i="22"/>
  <c r="C33" i="21"/>
  <c r="Y33" i="21" s="1"/>
  <c r="C32" i="21"/>
  <c r="Y32" i="21" s="1"/>
  <c r="C31" i="21"/>
  <c r="C30" i="21"/>
  <c r="C29" i="21"/>
  <c r="Y29" i="21" s="1"/>
  <c r="C28" i="21"/>
  <c r="Y28" i="21" s="1"/>
  <c r="C27" i="21"/>
  <c r="Y27" i="21" s="1"/>
  <c r="C26" i="21"/>
  <c r="AA26" i="21" s="1"/>
  <c r="C25" i="21"/>
  <c r="Y25" i="21" s="1"/>
  <c r="C24" i="21"/>
  <c r="Y24" i="21" s="1"/>
  <c r="C23" i="21"/>
  <c r="C22" i="21"/>
  <c r="AA22" i="21" s="1"/>
  <c r="C21" i="21"/>
  <c r="Y21" i="21" s="1"/>
  <c r="C20" i="21"/>
  <c r="Y20" i="21" s="1"/>
  <c r="C19" i="21"/>
  <c r="C18" i="21"/>
  <c r="AA18" i="21" s="1"/>
  <c r="C17" i="21"/>
  <c r="W17" i="21" s="1"/>
  <c r="Z17" i="21" s="1"/>
  <c r="C16" i="21"/>
  <c r="Y16" i="21" s="1"/>
  <c r="C15" i="21"/>
  <c r="C14" i="21"/>
  <c r="Y14" i="21" s="1"/>
  <c r="C13" i="21"/>
  <c r="Y13" i="21" s="1"/>
  <c r="C12" i="21"/>
  <c r="Y12" i="21" s="1"/>
  <c r="C11" i="21"/>
  <c r="C10" i="21"/>
  <c r="Y10" i="21" s="1"/>
  <c r="C9" i="21"/>
  <c r="W9" i="21" s="1"/>
  <c r="C8" i="21"/>
  <c r="Y8" i="21" s="1"/>
  <c r="C7" i="21"/>
  <c r="AA7" i="21" s="1"/>
  <c r="C6" i="21"/>
  <c r="Y6" i="21" s="1"/>
  <c r="C5" i="21"/>
  <c r="AA5" i="21" s="1"/>
  <c r="C4" i="21"/>
  <c r="C3" i="21"/>
  <c r="W3" i="21" s="1"/>
  <c r="C33" i="20"/>
  <c r="Y33" i="20" s="1"/>
  <c r="C32" i="20"/>
  <c r="C31" i="20"/>
  <c r="C30" i="20"/>
  <c r="C29" i="20"/>
  <c r="AA29" i="20" s="1"/>
  <c r="C28" i="20"/>
  <c r="Y28" i="20" s="1"/>
  <c r="C27" i="20"/>
  <c r="C26" i="20"/>
  <c r="AA26" i="20" s="1"/>
  <c r="C25" i="20"/>
  <c r="Y25" i="20" s="1"/>
  <c r="C24" i="20"/>
  <c r="Y24" i="20" s="1"/>
  <c r="C23" i="20"/>
  <c r="C22" i="20"/>
  <c r="C21" i="20"/>
  <c r="Y21" i="20" s="1"/>
  <c r="C20" i="20"/>
  <c r="C19" i="20"/>
  <c r="C18" i="20"/>
  <c r="C17" i="20"/>
  <c r="C16" i="20"/>
  <c r="Y16" i="20" s="1"/>
  <c r="C15" i="20"/>
  <c r="C14" i="20"/>
  <c r="Y14" i="20" s="1"/>
  <c r="C13" i="20"/>
  <c r="AA13" i="20" s="1"/>
  <c r="C12" i="20"/>
  <c r="Y12" i="20" s="1"/>
  <c r="C11" i="20"/>
  <c r="AA11" i="20" s="1"/>
  <c r="C10" i="20"/>
  <c r="Y10" i="20" s="1"/>
  <c r="C9" i="20"/>
  <c r="AA9" i="20" s="1"/>
  <c r="C8" i="20"/>
  <c r="Y8" i="20" s="1"/>
  <c r="C7" i="20"/>
  <c r="AA7" i="20" s="1"/>
  <c r="C6" i="20"/>
  <c r="Y6" i="20" s="1"/>
  <c r="C5" i="20"/>
  <c r="C4" i="20"/>
  <c r="AA4" i="20" s="1"/>
  <c r="C3" i="20"/>
  <c r="C33" i="19"/>
  <c r="Y33" i="19" s="1"/>
  <c r="C32" i="19"/>
  <c r="Y32" i="19" s="1"/>
  <c r="C31" i="19"/>
  <c r="C30" i="19"/>
  <c r="AA30" i="19" s="1"/>
  <c r="C29" i="19"/>
  <c r="B29" i="19" s="1"/>
  <c r="C28" i="19"/>
  <c r="C27" i="19"/>
  <c r="C26" i="19"/>
  <c r="C25" i="19"/>
  <c r="C24" i="19"/>
  <c r="Y24" i="19" s="1"/>
  <c r="C23" i="19"/>
  <c r="C22" i="19"/>
  <c r="AA22" i="19" s="1"/>
  <c r="C21" i="19"/>
  <c r="C20" i="19"/>
  <c r="Y20" i="19" s="1"/>
  <c r="C19" i="19"/>
  <c r="Y19" i="19" s="1"/>
  <c r="C18" i="19"/>
  <c r="Y18" i="19" s="1"/>
  <c r="C17" i="19"/>
  <c r="AA17" i="19" s="1"/>
  <c r="C16" i="19"/>
  <c r="W16" i="19" s="1"/>
  <c r="Z16" i="19" s="1"/>
  <c r="C15" i="19"/>
  <c r="Y15" i="19" s="1"/>
  <c r="C14" i="19"/>
  <c r="Y14" i="19" s="1"/>
  <c r="C13" i="19"/>
  <c r="AA13" i="19" s="1"/>
  <c r="C12" i="19"/>
  <c r="C11" i="19"/>
  <c r="Y11" i="19" s="1"/>
  <c r="C10" i="19"/>
  <c r="Y10" i="19" s="1"/>
  <c r="C9" i="19"/>
  <c r="AA9" i="19" s="1"/>
  <c r="C8" i="19"/>
  <c r="C7" i="19"/>
  <c r="Y7" i="19" s="1"/>
  <c r="C6" i="19"/>
  <c r="B6" i="19" s="1"/>
  <c r="C5" i="19"/>
  <c r="C4" i="19"/>
  <c r="AA4" i="19" s="1"/>
  <c r="C3" i="19"/>
  <c r="AA3" i="19" s="1"/>
  <c r="C33" i="18"/>
  <c r="Y33" i="18" s="1"/>
  <c r="C32" i="18"/>
  <c r="Y32" i="18" s="1"/>
  <c r="C31" i="18"/>
  <c r="C30" i="18"/>
  <c r="AA30" i="18" s="1"/>
  <c r="C29" i="18"/>
  <c r="C28" i="18"/>
  <c r="Y28" i="18" s="1"/>
  <c r="C27" i="18"/>
  <c r="Y27" i="18" s="1"/>
  <c r="C26" i="18"/>
  <c r="C25" i="18"/>
  <c r="AA25" i="18" s="1"/>
  <c r="C24" i="18"/>
  <c r="Y24" i="18" s="1"/>
  <c r="C23" i="18"/>
  <c r="C22" i="18"/>
  <c r="AA22" i="18" s="1"/>
  <c r="C21" i="18"/>
  <c r="AA21" i="18" s="1"/>
  <c r="C20" i="18"/>
  <c r="Y20" i="18" s="1"/>
  <c r="C19" i="18"/>
  <c r="W19" i="18" s="1"/>
  <c r="C18" i="18"/>
  <c r="Y18" i="18" s="1"/>
  <c r="C17" i="18"/>
  <c r="W17" i="18" s="1"/>
  <c r="C16" i="18"/>
  <c r="Y16" i="18" s="1"/>
  <c r="C15" i="18"/>
  <c r="C14" i="18"/>
  <c r="Y14" i="18" s="1"/>
  <c r="C13" i="18"/>
  <c r="C12" i="18"/>
  <c r="Y12" i="18" s="1"/>
  <c r="C11" i="18"/>
  <c r="AA11" i="18" s="1"/>
  <c r="C10" i="18"/>
  <c r="Y10" i="18" s="1"/>
  <c r="C9" i="18"/>
  <c r="W9" i="18" s="1"/>
  <c r="C8" i="18"/>
  <c r="Y8" i="18" s="1"/>
  <c r="C7" i="18"/>
  <c r="C6" i="18"/>
  <c r="Y6" i="18" s="1"/>
  <c r="C5" i="18"/>
  <c r="B5" i="18" s="1"/>
  <c r="C4" i="18"/>
  <c r="Y4" i="18" s="1"/>
  <c r="C3" i="18"/>
  <c r="AA3" i="18" s="1"/>
  <c r="B21" i="28" l="1"/>
  <c r="W20" i="28"/>
  <c r="Z20" i="28" s="1"/>
  <c r="B32" i="28"/>
  <c r="W9" i="28"/>
  <c r="X9" i="28" s="1"/>
  <c r="N9" i="28" s="1"/>
  <c r="U9" i="28" s="1"/>
  <c r="Y7" i="28"/>
  <c r="Y9" i="28"/>
  <c r="Y17" i="28"/>
  <c r="Y32" i="28"/>
  <c r="AA17" i="28"/>
  <c r="N17" i="28" s="1"/>
  <c r="U17" i="28" s="1"/>
  <c r="B20" i="28"/>
  <c r="AA31" i="28"/>
  <c r="AA30" i="28"/>
  <c r="Y33" i="28"/>
  <c r="AA27" i="28"/>
  <c r="Y5" i="28"/>
  <c r="W16" i="28"/>
  <c r="Z16" i="28" s="1"/>
  <c r="AA16" i="28"/>
  <c r="AA28" i="28"/>
  <c r="Y29" i="28"/>
  <c r="W3" i="28"/>
  <c r="Z3" i="28" s="1"/>
  <c r="W4" i="28"/>
  <c r="Z4" i="28" s="1"/>
  <c r="W25" i="28"/>
  <c r="X25" i="28" s="1"/>
  <c r="AA3" i="28"/>
  <c r="AA4" i="28"/>
  <c r="B7" i="28"/>
  <c r="B9" i="28"/>
  <c r="AA13" i="28"/>
  <c r="B16" i="28"/>
  <c r="B17" i="28"/>
  <c r="Y21" i="28"/>
  <c r="B3" i="28"/>
  <c r="B4" i="28"/>
  <c r="AA21" i="28"/>
  <c r="M21" i="28" s="1"/>
  <c r="T21" i="28" s="1"/>
  <c r="B25" i="28"/>
  <c r="X21" i="28"/>
  <c r="Z21" i="28"/>
  <c r="X17" i="28"/>
  <c r="Z17" i="28"/>
  <c r="B11" i="28"/>
  <c r="B13" i="28"/>
  <c r="W13" i="28"/>
  <c r="W15" i="28"/>
  <c r="Z15" i="28" s="1"/>
  <c r="B19" i="28"/>
  <c r="W24" i="28"/>
  <c r="Z24" i="28" s="1"/>
  <c r="Y25" i="28"/>
  <c r="Y26" i="28"/>
  <c r="W28" i="28"/>
  <c r="Z28" i="28" s="1"/>
  <c r="W29" i="28"/>
  <c r="Z29" i="28" s="1"/>
  <c r="W33" i="28"/>
  <c r="M33" i="28" s="1"/>
  <c r="Y11" i="28"/>
  <c r="B15" i="28"/>
  <c r="W19" i="28"/>
  <c r="X19" i="28" s="1"/>
  <c r="AA20" i="28"/>
  <c r="B24" i="28"/>
  <c r="AA24" i="28"/>
  <c r="B28" i="28"/>
  <c r="B29" i="28"/>
  <c r="W32" i="28"/>
  <c r="Z11" i="28"/>
  <c r="X11" i="28"/>
  <c r="Z7" i="28"/>
  <c r="X7" i="28"/>
  <c r="AA10" i="28"/>
  <c r="W10" i="28"/>
  <c r="B10" i="28"/>
  <c r="AA12" i="28"/>
  <c r="W8" i="28"/>
  <c r="W12" i="28"/>
  <c r="AA22" i="28"/>
  <c r="W22" i="28"/>
  <c r="B22" i="28"/>
  <c r="AA23" i="28"/>
  <c r="AA6" i="28"/>
  <c r="W6" i="28"/>
  <c r="W31" i="28"/>
  <c r="Z31" i="28" s="1"/>
  <c r="B31" i="28"/>
  <c r="B5" i="28"/>
  <c r="W5" i="28"/>
  <c r="AA7" i="28"/>
  <c r="AA11" i="28"/>
  <c r="M11" i="28" s="1"/>
  <c r="AA18" i="28"/>
  <c r="W18" i="28"/>
  <c r="B18" i="28"/>
  <c r="AA19" i="28"/>
  <c r="Y22" i="28"/>
  <c r="AA8" i="28"/>
  <c r="B6" i="28"/>
  <c r="Y6" i="28"/>
  <c r="B8" i="28"/>
  <c r="Y10" i="28"/>
  <c r="B12" i="28"/>
  <c r="AA14" i="28"/>
  <c r="W14" i="28"/>
  <c r="B14" i="28"/>
  <c r="AA15" i="28"/>
  <c r="B23" i="28"/>
  <c r="W23" i="28"/>
  <c r="W27" i="28"/>
  <c r="Z27" i="28" s="1"/>
  <c r="B27" i="28"/>
  <c r="B26" i="28"/>
  <c r="W26" i="28"/>
  <c r="B30" i="28"/>
  <c r="W30" i="28"/>
  <c r="Z30" i="28" s="1"/>
  <c r="AA16" i="26"/>
  <c r="AA3" i="27"/>
  <c r="W3" i="27"/>
  <c r="Z3" i="27" s="1"/>
  <c r="W5" i="27"/>
  <c r="X5" i="27" s="1"/>
  <c r="Y7" i="27"/>
  <c r="Y9" i="27"/>
  <c r="W12" i="27"/>
  <c r="Z12" i="27" s="1"/>
  <c r="AA17" i="27"/>
  <c r="Y17" i="26"/>
  <c r="AA5" i="27"/>
  <c r="Y30" i="27"/>
  <c r="W32" i="27"/>
  <c r="Z32" i="27" s="1"/>
  <c r="W13" i="26"/>
  <c r="X13" i="26" s="1"/>
  <c r="N13" i="26" s="1"/>
  <c r="U13" i="26" s="1"/>
  <c r="W16" i="26"/>
  <c r="W4" i="27"/>
  <c r="Z4" i="27" s="1"/>
  <c r="W17" i="27"/>
  <c r="X17" i="27" s="1"/>
  <c r="AA32" i="27"/>
  <c r="B16" i="27"/>
  <c r="B32" i="27"/>
  <c r="B3" i="27"/>
  <c r="B4" i="27"/>
  <c r="AA4" i="27"/>
  <c r="AA16" i="27"/>
  <c r="AA19" i="27"/>
  <c r="AA20" i="27"/>
  <c r="W21" i="27"/>
  <c r="AA24" i="27"/>
  <c r="AA25" i="27"/>
  <c r="AA21" i="27"/>
  <c r="W19" i="27"/>
  <c r="X19" i="27" s="1"/>
  <c r="W20" i="27"/>
  <c r="X20" i="27" s="1"/>
  <c r="W24" i="27"/>
  <c r="X24" i="27" s="1"/>
  <c r="W25" i="27"/>
  <c r="X25" i="27" s="1"/>
  <c r="Y9" i="26"/>
  <c r="W17" i="26"/>
  <c r="X17" i="26" s="1"/>
  <c r="B20" i="26"/>
  <c r="W9" i="27"/>
  <c r="X9" i="27" s="1"/>
  <c r="B19" i="27"/>
  <c r="B20" i="27"/>
  <c r="B21" i="27"/>
  <c r="B24" i="27"/>
  <c r="B25" i="27"/>
  <c r="AA33" i="27"/>
  <c r="B5" i="26"/>
  <c r="B16" i="26"/>
  <c r="B17" i="26"/>
  <c r="B32" i="26"/>
  <c r="B5" i="27"/>
  <c r="B7" i="27"/>
  <c r="B9" i="27"/>
  <c r="Y11" i="27"/>
  <c r="AA12" i="27"/>
  <c r="AA13" i="27"/>
  <c r="B17" i="27"/>
  <c r="Y26" i="27"/>
  <c r="W28" i="27"/>
  <c r="Z28" i="27" s="1"/>
  <c r="AA29" i="27"/>
  <c r="B3" i="26"/>
  <c r="B9" i="26"/>
  <c r="B19" i="26"/>
  <c r="B12" i="27"/>
  <c r="B13" i="27"/>
  <c r="W13" i="27"/>
  <c r="W16" i="27"/>
  <c r="Z16" i="27" s="1"/>
  <c r="Y22" i="27"/>
  <c r="AA28" i="27"/>
  <c r="W29" i="27"/>
  <c r="W33" i="27"/>
  <c r="X33" i="27" s="1"/>
  <c r="B12" i="26"/>
  <c r="B11" i="27"/>
  <c r="B28" i="27"/>
  <c r="B29" i="27"/>
  <c r="Z7" i="27"/>
  <c r="X7" i="27"/>
  <c r="Z11" i="27"/>
  <c r="X11" i="27"/>
  <c r="X9" i="26"/>
  <c r="AA31" i="27"/>
  <c r="W31" i="27"/>
  <c r="B31" i="27"/>
  <c r="Y31" i="27"/>
  <c r="W8" i="27"/>
  <c r="AA14" i="27"/>
  <c r="W14" i="27"/>
  <c r="B14" i="27"/>
  <c r="AA15" i="27"/>
  <c r="AA9" i="26"/>
  <c r="M9" i="26" s="1"/>
  <c r="T9" i="26" s="1"/>
  <c r="W25" i="26"/>
  <c r="X25" i="26" s="1"/>
  <c r="B8" i="26"/>
  <c r="B13" i="26"/>
  <c r="Y13" i="26"/>
  <c r="AA20" i="26"/>
  <c r="W21" i="26"/>
  <c r="Z21" i="26" s="1"/>
  <c r="AA32" i="26"/>
  <c r="AA7" i="27"/>
  <c r="N7" i="27" s="1"/>
  <c r="U7" i="27" s="1"/>
  <c r="AA11" i="27"/>
  <c r="Y14" i="27"/>
  <c r="AA23" i="27"/>
  <c r="W23" i="27"/>
  <c r="B23" i="27"/>
  <c r="Y23" i="27"/>
  <c r="AA6" i="27"/>
  <c r="W6" i="27"/>
  <c r="AA8" i="27"/>
  <c r="AA10" i="27"/>
  <c r="W10" i="27"/>
  <c r="B10" i="27"/>
  <c r="AA18" i="27"/>
  <c r="W18" i="27"/>
  <c r="B18" i="27"/>
  <c r="Y3" i="26"/>
  <c r="B6" i="26"/>
  <c r="W19" i="26"/>
  <c r="X19" i="26" s="1"/>
  <c r="B21" i="26"/>
  <c r="AA21" i="26"/>
  <c r="B25" i="26"/>
  <c r="B6" i="27"/>
  <c r="Y6" i="27"/>
  <c r="B8" i="27"/>
  <c r="Y10" i="27"/>
  <c r="B15" i="27"/>
  <c r="W15" i="27"/>
  <c r="AA27" i="27"/>
  <c r="W27" i="27"/>
  <c r="B27" i="27"/>
  <c r="Y27" i="27"/>
  <c r="B22" i="27"/>
  <c r="W22" i="27"/>
  <c r="B26" i="27"/>
  <c r="W26" i="27"/>
  <c r="B30" i="27"/>
  <c r="W30" i="27"/>
  <c r="X3" i="26"/>
  <c r="Z3" i="26"/>
  <c r="W15" i="26"/>
  <c r="X15" i="26" s="1"/>
  <c r="W24" i="26"/>
  <c r="Z24" i="26" s="1"/>
  <c r="Y25" i="26"/>
  <c r="W28" i="26"/>
  <c r="Z28" i="26" s="1"/>
  <c r="AA29" i="26"/>
  <c r="Y26" i="26"/>
  <c r="AA3" i="26"/>
  <c r="M3" i="26" s="1"/>
  <c r="W5" i="26"/>
  <c r="Z5" i="26" s="1"/>
  <c r="AA28" i="26"/>
  <c r="W29" i="26"/>
  <c r="W33" i="26"/>
  <c r="AA5" i="26"/>
  <c r="Z9" i="26"/>
  <c r="B15" i="26"/>
  <c r="W20" i="26"/>
  <c r="X20" i="26" s="1"/>
  <c r="B24" i="26"/>
  <c r="AA24" i="26"/>
  <c r="B28" i="26"/>
  <c r="B29" i="26"/>
  <c r="Y30" i="26"/>
  <c r="W32" i="26"/>
  <c r="AA33" i="26"/>
  <c r="AA31" i="26"/>
  <c r="W31" i="26"/>
  <c r="B31" i="26"/>
  <c r="Y31" i="26"/>
  <c r="Y4" i="26"/>
  <c r="W7" i="26"/>
  <c r="W11" i="26"/>
  <c r="AA22" i="26"/>
  <c r="W22" i="26"/>
  <c r="B22" i="26"/>
  <c r="AA23" i="26"/>
  <c r="AA3" i="25"/>
  <c r="Y6" i="25"/>
  <c r="AA6" i="26"/>
  <c r="W6" i="26"/>
  <c r="AA8" i="26"/>
  <c r="AA10" i="26"/>
  <c r="W10" i="26"/>
  <c r="B10" i="26"/>
  <c r="AA12" i="26"/>
  <c r="AA14" i="26"/>
  <c r="W14" i="26"/>
  <c r="B14" i="26"/>
  <c r="AA18" i="26"/>
  <c r="W18" i="26"/>
  <c r="B18" i="26"/>
  <c r="AA19" i="26"/>
  <c r="Y22" i="26"/>
  <c r="AA7" i="26"/>
  <c r="AA11" i="26"/>
  <c r="B4" i="26"/>
  <c r="W4" i="26"/>
  <c r="B7" i="26"/>
  <c r="W8" i="26"/>
  <c r="B11" i="26"/>
  <c r="W12" i="26"/>
  <c r="AA15" i="26"/>
  <c r="Y18" i="26"/>
  <c r="B23" i="26"/>
  <c r="W23" i="26"/>
  <c r="AA27" i="26"/>
  <c r="W27" i="26"/>
  <c r="B27" i="26"/>
  <c r="Y27" i="26"/>
  <c r="B26" i="26"/>
  <c r="W26" i="26"/>
  <c r="B30" i="26"/>
  <c r="W30" i="26"/>
  <c r="W24" i="24"/>
  <c r="Z24" i="24" s="1"/>
  <c r="B13" i="24"/>
  <c r="W29" i="23"/>
  <c r="Z29" i="23" s="1"/>
  <c r="AA9" i="24"/>
  <c r="W33" i="24"/>
  <c r="Z33" i="24" s="1"/>
  <c r="W8" i="23"/>
  <c r="Z8" i="23" s="1"/>
  <c r="W29" i="22"/>
  <c r="M29" i="22" s="1"/>
  <c r="T29" i="22" s="1"/>
  <c r="W16" i="24"/>
  <c r="AA24" i="24"/>
  <c r="B28" i="24"/>
  <c r="Y22" i="25"/>
  <c r="W25" i="25"/>
  <c r="X25" i="25" s="1"/>
  <c r="N25" i="25" s="1"/>
  <c r="U25" i="25" s="1"/>
  <c r="Y30" i="25"/>
  <c r="Y6" i="23"/>
  <c r="AA17" i="22"/>
  <c r="W3" i="24"/>
  <c r="X3" i="24" s="1"/>
  <c r="Y5" i="24"/>
  <c r="W13" i="24"/>
  <c r="X13" i="24" s="1"/>
  <c r="AA17" i="24"/>
  <c r="AA33" i="24"/>
  <c r="W9" i="25"/>
  <c r="X9" i="25" s="1"/>
  <c r="Y26" i="25"/>
  <c r="W29" i="25"/>
  <c r="M29" i="25" s="1"/>
  <c r="T29" i="25" s="1"/>
  <c r="Y3" i="24"/>
  <c r="AA13" i="24"/>
  <c r="AA28" i="24"/>
  <c r="AA9" i="25"/>
  <c r="B12" i="25"/>
  <c r="X17" i="25"/>
  <c r="Z17" i="25"/>
  <c r="Y17" i="25"/>
  <c r="B3" i="24"/>
  <c r="AA5" i="24"/>
  <c r="M5" i="24" s="1"/>
  <c r="B17" i="24"/>
  <c r="W17" i="24"/>
  <c r="B24" i="24"/>
  <c r="W29" i="24"/>
  <c r="X29" i="24" s="1"/>
  <c r="N29" i="24" s="1"/>
  <c r="U29" i="24" s="1"/>
  <c r="B3" i="25"/>
  <c r="W3" i="25"/>
  <c r="W5" i="25"/>
  <c r="Z5" i="25" s="1"/>
  <c r="B9" i="25"/>
  <c r="AA13" i="25"/>
  <c r="B16" i="25"/>
  <c r="AA21" i="25"/>
  <c r="Y25" i="25"/>
  <c r="W28" i="25"/>
  <c r="Z28" i="25" s="1"/>
  <c r="Y29" i="25"/>
  <c r="W32" i="25"/>
  <c r="Z32" i="25" s="1"/>
  <c r="B8" i="23"/>
  <c r="B5" i="24"/>
  <c r="B9" i="24"/>
  <c r="W9" i="24"/>
  <c r="Y29" i="24"/>
  <c r="B13" i="25"/>
  <c r="W13" i="25"/>
  <c r="AA17" i="25"/>
  <c r="W21" i="25"/>
  <c r="B25" i="25"/>
  <c r="B29" i="25"/>
  <c r="AA32" i="25"/>
  <c r="B7" i="22"/>
  <c r="B29" i="24"/>
  <c r="B5" i="25"/>
  <c r="B8" i="25"/>
  <c r="B17" i="25"/>
  <c r="B21" i="25"/>
  <c r="B28" i="25"/>
  <c r="B32" i="25"/>
  <c r="X17" i="23"/>
  <c r="Y19" i="23"/>
  <c r="B19" i="23"/>
  <c r="X25" i="23"/>
  <c r="Z25" i="23"/>
  <c r="Y25" i="24"/>
  <c r="B25" i="24"/>
  <c r="W25" i="24"/>
  <c r="Y32" i="24"/>
  <c r="B32" i="24"/>
  <c r="AA32" i="24"/>
  <c r="Y15" i="25"/>
  <c r="B15" i="25"/>
  <c r="AA15" i="25"/>
  <c r="AA19" i="25"/>
  <c r="W19" i="25"/>
  <c r="B19" i="25"/>
  <c r="Y19" i="25"/>
  <c r="Y24" i="25"/>
  <c r="AA24" i="25"/>
  <c r="Y15" i="22"/>
  <c r="W15" i="22"/>
  <c r="X15" i="22" s="1"/>
  <c r="W11" i="23"/>
  <c r="X11" i="23" s="1"/>
  <c r="B11" i="23"/>
  <c r="Y17" i="23"/>
  <c r="W19" i="23"/>
  <c r="Z19" i="23" s="1"/>
  <c r="AA21" i="24"/>
  <c r="B21" i="24"/>
  <c r="W32" i="24"/>
  <c r="Z32" i="24" s="1"/>
  <c r="Z7" i="25"/>
  <c r="X7" i="25"/>
  <c r="W24" i="25"/>
  <c r="Y33" i="25"/>
  <c r="AA33" i="25"/>
  <c r="B19" i="22"/>
  <c r="Y11" i="23"/>
  <c r="Y16" i="23"/>
  <c r="AA16" i="23"/>
  <c r="W16" i="23"/>
  <c r="Z16" i="23" s="1"/>
  <c r="AA17" i="23"/>
  <c r="M17" i="23" s="1"/>
  <c r="W33" i="23"/>
  <c r="X33" i="23" s="1"/>
  <c r="Y19" i="24"/>
  <c r="W19" i="24"/>
  <c r="X19" i="24" s="1"/>
  <c r="Y30" i="24"/>
  <c r="Y7" i="25"/>
  <c r="B7" i="25"/>
  <c r="AA7" i="25"/>
  <c r="Z11" i="25"/>
  <c r="X11" i="25"/>
  <c r="W33" i="25"/>
  <c r="Y13" i="23"/>
  <c r="B13" i="23"/>
  <c r="W13" i="23"/>
  <c r="Z13" i="23" s="1"/>
  <c r="B17" i="23"/>
  <c r="Y25" i="23"/>
  <c r="B25" i="23"/>
  <c r="Y28" i="23"/>
  <c r="AA28" i="23"/>
  <c r="Y20" i="24"/>
  <c r="B20" i="24"/>
  <c r="AA20" i="24"/>
  <c r="M20" i="24" s="1"/>
  <c r="T20" i="24" s="1"/>
  <c r="W21" i="24"/>
  <c r="AA25" i="24"/>
  <c r="AA4" i="25"/>
  <c r="W4" i="25"/>
  <c r="B4" i="25"/>
  <c r="AA5" i="25"/>
  <c r="Y11" i="25"/>
  <c r="B11" i="25"/>
  <c r="AA11" i="25"/>
  <c r="M11" i="25" s="1"/>
  <c r="T11" i="25" s="1"/>
  <c r="W15" i="25"/>
  <c r="Y20" i="25"/>
  <c r="W20" i="25"/>
  <c r="B20" i="25"/>
  <c r="B24" i="25"/>
  <c r="AA31" i="25"/>
  <c r="W31" i="25"/>
  <c r="B31" i="25"/>
  <c r="AA6" i="25"/>
  <c r="W6" i="25"/>
  <c r="AA8" i="25"/>
  <c r="AA10" i="25"/>
  <c r="W10" i="25"/>
  <c r="B10" i="25"/>
  <c r="AA12" i="25"/>
  <c r="AA14" i="25"/>
  <c r="W14" i="25"/>
  <c r="B14" i="25"/>
  <c r="AA16" i="25"/>
  <c r="AA18" i="25"/>
  <c r="W18" i="25"/>
  <c r="B18" i="25"/>
  <c r="AA23" i="25"/>
  <c r="W23" i="25"/>
  <c r="B23" i="25"/>
  <c r="Y26" i="24"/>
  <c r="W28" i="24"/>
  <c r="Z28" i="24" s="1"/>
  <c r="W8" i="25"/>
  <c r="W12" i="25"/>
  <c r="W16" i="25"/>
  <c r="Y18" i="25"/>
  <c r="Y23" i="25"/>
  <c r="AA27" i="25"/>
  <c r="W27" i="25"/>
  <c r="B27" i="25"/>
  <c r="AA28" i="25"/>
  <c r="B22" i="25"/>
  <c r="W22" i="25"/>
  <c r="B26" i="25"/>
  <c r="W26" i="25"/>
  <c r="B30" i="25"/>
  <c r="W30" i="25"/>
  <c r="AA22" i="20"/>
  <c r="Y22" i="20"/>
  <c r="Y32" i="22"/>
  <c r="B32" i="22"/>
  <c r="AA31" i="24"/>
  <c r="W31" i="24"/>
  <c r="B31" i="24"/>
  <c r="Y31" i="24"/>
  <c r="Y3" i="20"/>
  <c r="W3" i="20"/>
  <c r="Z3" i="20" s="1"/>
  <c r="Y28" i="22"/>
  <c r="B28" i="22"/>
  <c r="W28" i="22"/>
  <c r="Z28" i="22" s="1"/>
  <c r="Y5" i="23"/>
  <c r="AA5" i="23"/>
  <c r="B5" i="23"/>
  <c r="W5" i="23"/>
  <c r="X5" i="23" s="1"/>
  <c r="Y12" i="23"/>
  <c r="W12" i="23"/>
  <c r="X12" i="23" s="1"/>
  <c r="B12" i="23"/>
  <c r="Y20" i="23"/>
  <c r="B20" i="23"/>
  <c r="AA20" i="23"/>
  <c r="W20" i="23"/>
  <c r="Y32" i="23"/>
  <c r="B32" i="23"/>
  <c r="AA32" i="23"/>
  <c r="W32" i="23"/>
  <c r="Z32" i="23" s="1"/>
  <c r="Z5" i="24"/>
  <c r="X5" i="24"/>
  <c r="Y15" i="24"/>
  <c r="B15" i="24"/>
  <c r="W15" i="24"/>
  <c r="Y4" i="22"/>
  <c r="B4" i="22"/>
  <c r="AA4" i="22"/>
  <c r="X20" i="24"/>
  <c r="Z20" i="24"/>
  <c r="W9" i="22"/>
  <c r="Z9" i="22" s="1"/>
  <c r="B9" i="22"/>
  <c r="Y9" i="22"/>
  <c r="Y16" i="22"/>
  <c r="W16" i="22"/>
  <c r="AA28" i="22"/>
  <c r="AA7" i="23"/>
  <c r="B7" i="23"/>
  <c r="Y7" i="23"/>
  <c r="AA9" i="23"/>
  <c r="Y9" i="23"/>
  <c r="B9" i="23"/>
  <c r="W21" i="23"/>
  <c r="B21" i="23"/>
  <c r="AA21" i="23"/>
  <c r="Y23" i="24"/>
  <c r="W23" i="24"/>
  <c r="B23" i="24"/>
  <c r="AA23" i="24"/>
  <c r="Y11" i="24"/>
  <c r="B11" i="24"/>
  <c r="W11" i="24"/>
  <c r="AA30" i="21"/>
  <c r="Y30" i="21"/>
  <c r="Y3" i="22"/>
  <c r="B3" i="22"/>
  <c r="AA16" i="22"/>
  <c r="AA26" i="22"/>
  <c r="Y26" i="22"/>
  <c r="Y29" i="22"/>
  <c r="B29" i="22"/>
  <c r="Y4" i="23"/>
  <c r="B4" i="23"/>
  <c r="W4" i="23"/>
  <c r="Z4" i="23" s="1"/>
  <c r="W9" i="23"/>
  <c r="Y21" i="23"/>
  <c r="AA30" i="23"/>
  <c r="Y30" i="23"/>
  <c r="AA4" i="24"/>
  <c r="W4" i="24"/>
  <c r="B4" i="24"/>
  <c r="Y4" i="24"/>
  <c r="Y7" i="24"/>
  <c r="B7" i="24"/>
  <c r="W7" i="24"/>
  <c r="AA15" i="24"/>
  <c r="AA15" i="22"/>
  <c r="B15" i="23"/>
  <c r="Z17" i="23"/>
  <c r="B24" i="23"/>
  <c r="AA24" i="23"/>
  <c r="AA25" i="23"/>
  <c r="M25" i="23" s="1"/>
  <c r="T25" i="23" s="1"/>
  <c r="B28" i="23"/>
  <c r="B29" i="23"/>
  <c r="Y29" i="23"/>
  <c r="AA33" i="23"/>
  <c r="B6" i="24"/>
  <c r="B8" i="24"/>
  <c r="B12" i="24"/>
  <c r="B16" i="24"/>
  <c r="AA22" i="24"/>
  <c r="W22" i="24"/>
  <c r="B22" i="24"/>
  <c r="AA6" i="24"/>
  <c r="W6" i="24"/>
  <c r="AA8" i="24"/>
  <c r="AA10" i="24"/>
  <c r="W10" i="24"/>
  <c r="B10" i="24"/>
  <c r="AA12" i="24"/>
  <c r="AA14" i="24"/>
  <c r="W14" i="24"/>
  <c r="B14" i="24"/>
  <c r="AA16" i="24"/>
  <c r="AA18" i="24"/>
  <c r="W18" i="24"/>
  <c r="B18" i="24"/>
  <c r="AA19" i="24"/>
  <c r="Y22" i="24"/>
  <c r="W15" i="23"/>
  <c r="Z15" i="23" s="1"/>
  <c r="W24" i="23"/>
  <c r="Z24" i="23" s="1"/>
  <c r="Y26" i="23"/>
  <c r="W28" i="23"/>
  <c r="Z28" i="23" s="1"/>
  <c r="W8" i="24"/>
  <c r="W12" i="24"/>
  <c r="AA27" i="24"/>
  <c r="W27" i="24"/>
  <c r="B27" i="24"/>
  <c r="Y27" i="24"/>
  <c r="B26" i="24"/>
  <c r="W26" i="24"/>
  <c r="B30" i="24"/>
  <c r="W30" i="24"/>
  <c r="W11" i="22"/>
  <c r="Z11" i="22" s="1"/>
  <c r="B11" i="22"/>
  <c r="Y11" i="22"/>
  <c r="X25" i="22"/>
  <c r="Z25" i="22"/>
  <c r="Y13" i="22"/>
  <c r="B13" i="22"/>
  <c r="W13" i="22"/>
  <c r="Z13" i="22" s="1"/>
  <c r="AA13" i="22"/>
  <c r="Y25" i="22"/>
  <c r="AA23" i="23"/>
  <c r="W33" i="22"/>
  <c r="Z33" i="22" s="1"/>
  <c r="Y3" i="23"/>
  <c r="AA11" i="23"/>
  <c r="W3" i="22"/>
  <c r="Z3" i="22" s="1"/>
  <c r="W4" i="22"/>
  <c r="X4" i="22" s="1"/>
  <c r="Y5" i="22"/>
  <c r="Y7" i="22"/>
  <c r="B15" i="22"/>
  <c r="B16" i="22"/>
  <c r="B17" i="22"/>
  <c r="W17" i="22"/>
  <c r="W19" i="22"/>
  <c r="X19" i="22" s="1"/>
  <c r="AA20" i="22"/>
  <c r="AA24" i="22"/>
  <c r="AA25" i="22"/>
  <c r="Y30" i="22"/>
  <c r="W32" i="22"/>
  <c r="X32" i="22" s="1"/>
  <c r="AA33" i="22"/>
  <c r="W7" i="23"/>
  <c r="AA18" i="23"/>
  <c r="W18" i="23"/>
  <c r="B18" i="23"/>
  <c r="AA19" i="23"/>
  <c r="W21" i="22"/>
  <c r="AA31" i="23"/>
  <c r="W31" i="23"/>
  <c r="B31" i="23"/>
  <c r="Y31" i="23"/>
  <c r="AA9" i="22"/>
  <c r="W20" i="22"/>
  <c r="Y21" i="22"/>
  <c r="Y22" i="22"/>
  <c r="W24" i="22"/>
  <c r="X24" i="22" s="1"/>
  <c r="AA22" i="23"/>
  <c r="W22" i="23"/>
  <c r="B22" i="23"/>
  <c r="AA3" i="22"/>
  <c r="B20" i="22"/>
  <c r="B21" i="22"/>
  <c r="B24" i="22"/>
  <c r="B25" i="22"/>
  <c r="AA32" i="22"/>
  <c r="B3" i="23"/>
  <c r="W3" i="23"/>
  <c r="AA6" i="23"/>
  <c r="W6" i="23"/>
  <c r="AA8" i="23"/>
  <c r="AA10" i="23"/>
  <c r="W10" i="23"/>
  <c r="B10" i="23"/>
  <c r="AA12" i="23"/>
  <c r="AA14" i="23"/>
  <c r="W14" i="23"/>
  <c r="B14" i="23"/>
  <c r="AA15" i="23"/>
  <c r="Y18" i="23"/>
  <c r="B23" i="23"/>
  <c r="W23" i="23"/>
  <c r="AA27" i="23"/>
  <c r="W27" i="23"/>
  <c r="B27" i="23"/>
  <c r="Y27" i="23"/>
  <c r="B26" i="23"/>
  <c r="W26" i="23"/>
  <c r="B30" i="23"/>
  <c r="W30" i="23"/>
  <c r="Z7" i="22"/>
  <c r="X7" i="22"/>
  <c r="AA12" i="22"/>
  <c r="W8" i="22"/>
  <c r="AA10" i="22"/>
  <c r="W10" i="22"/>
  <c r="B10" i="22"/>
  <c r="AA14" i="22"/>
  <c r="W14" i="22"/>
  <c r="B14" i="22"/>
  <c r="AA31" i="22"/>
  <c r="W31" i="22"/>
  <c r="B31" i="22"/>
  <c r="Y31" i="22"/>
  <c r="W12" i="22"/>
  <c r="B5" i="22"/>
  <c r="W5" i="22"/>
  <c r="AA7" i="22"/>
  <c r="AA11" i="22"/>
  <c r="AA23" i="22"/>
  <c r="W23" i="22"/>
  <c r="B23" i="22"/>
  <c r="Y23" i="22"/>
  <c r="AA6" i="22"/>
  <c r="W6" i="22"/>
  <c r="AA8" i="22"/>
  <c r="Y14" i="22"/>
  <c r="B6" i="22"/>
  <c r="Y6" i="22"/>
  <c r="B8" i="22"/>
  <c r="Y10" i="22"/>
  <c r="B12" i="22"/>
  <c r="AA18" i="22"/>
  <c r="W18" i="22"/>
  <c r="B18" i="22"/>
  <c r="AA19" i="22"/>
  <c r="AA27" i="22"/>
  <c r="W27" i="22"/>
  <c r="B27" i="22"/>
  <c r="Y27" i="22"/>
  <c r="B22" i="22"/>
  <c r="W22" i="22"/>
  <c r="B26" i="22"/>
  <c r="W26" i="22"/>
  <c r="B30" i="22"/>
  <c r="W30" i="22"/>
  <c r="W9" i="19"/>
  <c r="M9" i="19" s="1"/>
  <c r="T9" i="19" s="1"/>
  <c r="B9" i="19"/>
  <c r="Y13" i="19"/>
  <c r="W9" i="20"/>
  <c r="X9" i="20" s="1"/>
  <c r="W16" i="20"/>
  <c r="Z16" i="20" s="1"/>
  <c r="Y3" i="21"/>
  <c r="AA24" i="19"/>
  <c r="AA24" i="20"/>
  <c r="Y26" i="21"/>
  <c r="W7" i="20"/>
  <c r="M7" i="20" s="1"/>
  <c r="T7" i="20" s="1"/>
  <c r="W25" i="20"/>
  <c r="W13" i="21"/>
  <c r="Y18" i="21"/>
  <c r="W25" i="21"/>
  <c r="Z25" i="21" s="1"/>
  <c r="AA20" i="19"/>
  <c r="B24" i="19"/>
  <c r="B3" i="20"/>
  <c r="W24" i="20"/>
  <c r="Z24" i="20" s="1"/>
  <c r="AA16" i="21"/>
  <c r="B13" i="21"/>
  <c r="B24" i="20"/>
  <c r="B25" i="20"/>
  <c r="W33" i="20"/>
  <c r="Z33" i="20" s="1"/>
  <c r="Y9" i="21"/>
  <c r="Y17" i="21"/>
  <c r="AA25" i="21"/>
  <c r="W29" i="21"/>
  <c r="X29" i="21" s="1"/>
  <c r="Y17" i="19"/>
  <c r="B20" i="19"/>
  <c r="B7" i="20"/>
  <c r="B16" i="20"/>
  <c r="B3" i="21"/>
  <c r="AA9" i="21"/>
  <c r="M9" i="21" s="1"/>
  <c r="T9" i="21" s="1"/>
  <c r="B12" i="21"/>
  <c r="B25" i="21"/>
  <c r="AA29" i="21"/>
  <c r="B9" i="21"/>
  <c r="B29" i="21"/>
  <c r="X9" i="21"/>
  <c r="Z9" i="21"/>
  <c r="X3" i="21"/>
  <c r="B19" i="18"/>
  <c r="Y30" i="19"/>
  <c r="W32" i="19"/>
  <c r="Z32" i="19" s="1"/>
  <c r="W4" i="20"/>
  <c r="X4" i="20" s="1"/>
  <c r="N4" i="20" s="1"/>
  <c r="U4" i="20" s="1"/>
  <c r="B9" i="20"/>
  <c r="Y9" i="20"/>
  <c r="B13" i="20"/>
  <c r="AA16" i="20"/>
  <c r="W29" i="20"/>
  <c r="X29" i="20" s="1"/>
  <c r="N29" i="20" s="1"/>
  <c r="U29" i="20" s="1"/>
  <c r="AA3" i="21"/>
  <c r="M3" i="21" s="1"/>
  <c r="W5" i="21"/>
  <c r="Z5" i="21" s="1"/>
  <c r="AA13" i="21"/>
  <c r="B16" i="21"/>
  <c r="B17" i="21"/>
  <c r="AA21" i="21"/>
  <c r="B24" i="21"/>
  <c r="B28" i="21"/>
  <c r="AA32" i="21"/>
  <c r="AA32" i="19"/>
  <c r="W11" i="20"/>
  <c r="M11" i="20" s="1"/>
  <c r="T11" i="20" s="1"/>
  <c r="Y5" i="21"/>
  <c r="AA17" i="21"/>
  <c r="M17" i="21" s="1"/>
  <c r="W21" i="21"/>
  <c r="Y9" i="19"/>
  <c r="B32" i="19"/>
  <c r="AA3" i="20"/>
  <c r="B8" i="20"/>
  <c r="B11" i="20"/>
  <c r="B12" i="20"/>
  <c r="W13" i="20"/>
  <c r="M13" i="20" s="1"/>
  <c r="T13" i="20" s="1"/>
  <c r="AA25" i="20"/>
  <c r="AA28" i="20"/>
  <c r="AA33" i="20"/>
  <c r="B5" i="21"/>
  <c r="W16" i="21"/>
  <c r="Z16" i="21" s="1"/>
  <c r="B21" i="21"/>
  <c r="Y22" i="21"/>
  <c r="W24" i="21"/>
  <c r="X24" i="21" s="1"/>
  <c r="W28" i="21"/>
  <c r="X28" i="21" s="1"/>
  <c r="W33" i="21"/>
  <c r="X33" i="21" s="1"/>
  <c r="Y25" i="19"/>
  <c r="B25" i="19"/>
  <c r="AA25" i="19"/>
  <c r="W25" i="19"/>
  <c r="Z25" i="19" s="1"/>
  <c r="AA15" i="21"/>
  <c r="W15" i="21"/>
  <c r="B15" i="21"/>
  <c r="Y15" i="21"/>
  <c r="AA30" i="20"/>
  <c r="Y30" i="20"/>
  <c r="Y11" i="21"/>
  <c r="B11" i="21"/>
  <c r="W11" i="21"/>
  <c r="W7" i="18"/>
  <c r="Z7" i="18" s="1"/>
  <c r="Y7" i="18"/>
  <c r="Y21" i="19"/>
  <c r="B21" i="19"/>
  <c r="AA21" i="19"/>
  <c r="Y19" i="20"/>
  <c r="B19" i="20"/>
  <c r="AA19" i="20"/>
  <c r="W19" i="20"/>
  <c r="Z19" i="20" s="1"/>
  <c r="AA4" i="21"/>
  <c r="W4" i="21"/>
  <c r="B4" i="21"/>
  <c r="Y4" i="21"/>
  <c r="Y7" i="21"/>
  <c r="B7" i="21"/>
  <c r="W7" i="21"/>
  <c r="W21" i="20"/>
  <c r="B21" i="20"/>
  <c r="AA21" i="20"/>
  <c r="W29" i="18"/>
  <c r="Z29" i="18" s="1"/>
  <c r="B29" i="18"/>
  <c r="AA29" i="18"/>
  <c r="Y29" i="18"/>
  <c r="Y17" i="20"/>
  <c r="B17" i="20"/>
  <c r="W17" i="20"/>
  <c r="AA17" i="20"/>
  <c r="Y20" i="20"/>
  <c r="B20" i="20"/>
  <c r="AA20" i="20"/>
  <c r="W20" i="20"/>
  <c r="X20" i="20" s="1"/>
  <c r="Y32" i="20"/>
  <c r="B32" i="20"/>
  <c r="AA32" i="20"/>
  <c r="W32" i="20"/>
  <c r="Z32" i="20" s="1"/>
  <c r="AA11" i="21"/>
  <c r="AA31" i="21"/>
  <c r="W31" i="21"/>
  <c r="B31" i="21"/>
  <c r="B11" i="18"/>
  <c r="B21" i="18"/>
  <c r="B13" i="19"/>
  <c r="B19" i="19"/>
  <c r="B4" i="20"/>
  <c r="Y4" i="20"/>
  <c r="B6" i="20"/>
  <c r="Y13" i="20"/>
  <c r="B28" i="20"/>
  <c r="B29" i="20"/>
  <c r="Y29" i="20"/>
  <c r="Z3" i="21"/>
  <c r="B6" i="21"/>
  <c r="B8" i="21"/>
  <c r="AA19" i="21"/>
  <c r="W19" i="21"/>
  <c r="B19" i="21"/>
  <c r="AA20" i="21"/>
  <c r="Y31" i="21"/>
  <c r="AA6" i="21"/>
  <c r="W6" i="21"/>
  <c r="AA8" i="21"/>
  <c r="AA10" i="21"/>
  <c r="W10" i="21"/>
  <c r="B10" i="21"/>
  <c r="AA12" i="21"/>
  <c r="AA14" i="21"/>
  <c r="W14" i="21"/>
  <c r="B14" i="21"/>
  <c r="X17" i="21"/>
  <c r="Y19" i="21"/>
  <c r="AA23" i="21"/>
  <c r="W23" i="21"/>
  <c r="B23" i="21"/>
  <c r="AA24" i="21"/>
  <c r="B32" i="21"/>
  <c r="W32" i="21"/>
  <c r="AA33" i="21"/>
  <c r="Y21" i="18"/>
  <c r="W13" i="19"/>
  <c r="Z13" i="19" s="1"/>
  <c r="W19" i="19"/>
  <c r="Z19" i="19" s="1"/>
  <c r="AA33" i="19"/>
  <c r="Y7" i="20"/>
  <c r="Y26" i="20"/>
  <c r="W28" i="20"/>
  <c r="Z28" i="20" s="1"/>
  <c r="W8" i="21"/>
  <c r="W12" i="21"/>
  <c r="B20" i="21"/>
  <c r="W20" i="21"/>
  <c r="Y23" i="21"/>
  <c r="AA27" i="21"/>
  <c r="W27" i="21"/>
  <c r="B27" i="21"/>
  <c r="AA28" i="21"/>
  <c r="B18" i="21"/>
  <c r="W18" i="21"/>
  <c r="B22" i="21"/>
  <c r="W22" i="21"/>
  <c r="B26" i="21"/>
  <c r="W26" i="21"/>
  <c r="B30" i="21"/>
  <c r="W30" i="21"/>
  <c r="Y3" i="19"/>
  <c r="B3" i="19"/>
  <c r="W3" i="19"/>
  <c r="Y6" i="19"/>
  <c r="B17" i="19"/>
  <c r="AA26" i="19"/>
  <c r="Y26" i="19"/>
  <c r="Y15" i="20"/>
  <c r="W15" i="20"/>
  <c r="B15" i="20"/>
  <c r="AA15" i="20"/>
  <c r="Y13" i="18"/>
  <c r="AA13" i="18"/>
  <c r="W13" i="18"/>
  <c r="X13" i="18" s="1"/>
  <c r="Y28" i="19"/>
  <c r="AA28" i="19"/>
  <c r="W28" i="19"/>
  <c r="X28" i="19" s="1"/>
  <c r="AA18" i="20"/>
  <c r="W18" i="20"/>
  <c r="B18" i="20"/>
  <c r="Y18" i="20"/>
  <c r="AA15" i="18"/>
  <c r="Y15" i="18"/>
  <c r="Y5" i="19"/>
  <c r="B5" i="19"/>
  <c r="AA5" i="19"/>
  <c r="W29" i="19"/>
  <c r="AA29" i="19"/>
  <c r="Y25" i="18"/>
  <c r="W25" i="18"/>
  <c r="X25" i="18" s="1"/>
  <c r="N25" i="18" s="1"/>
  <c r="U25" i="18" s="1"/>
  <c r="AA5" i="20"/>
  <c r="W5" i="20"/>
  <c r="B5" i="20"/>
  <c r="Y5" i="20"/>
  <c r="AA31" i="20"/>
  <c r="W31" i="20"/>
  <c r="B31" i="20"/>
  <c r="Y31" i="20"/>
  <c r="AA26" i="18"/>
  <c r="Y26" i="18"/>
  <c r="B13" i="18"/>
  <c r="B25" i="18"/>
  <c r="W5" i="19"/>
  <c r="Z5" i="19" s="1"/>
  <c r="Y8" i="19"/>
  <c r="B8" i="19"/>
  <c r="Y12" i="19"/>
  <c r="B12" i="19"/>
  <c r="Y16" i="19"/>
  <c r="AA16" i="19"/>
  <c r="M16" i="19" s="1"/>
  <c r="B16" i="19"/>
  <c r="W17" i="19"/>
  <c r="B28" i="19"/>
  <c r="Y29" i="19"/>
  <c r="AA6" i="20"/>
  <c r="W6" i="20"/>
  <c r="AA8" i="20"/>
  <c r="AA10" i="20"/>
  <c r="W10" i="20"/>
  <c r="B10" i="20"/>
  <c r="W21" i="19"/>
  <c r="W8" i="20"/>
  <c r="Y11" i="20"/>
  <c r="W12" i="20"/>
  <c r="AA23" i="20"/>
  <c r="W23" i="20"/>
  <c r="B23" i="20"/>
  <c r="Y23" i="20"/>
  <c r="AA12" i="20"/>
  <c r="AA14" i="20"/>
  <c r="W14" i="20"/>
  <c r="B14" i="20"/>
  <c r="W12" i="18"/>
  <c r="Z12" i="18" s="1"/>
  <c r="W21" i="18"/>
  <c r="X21" i="18" s="1"/>
  <c r="Y30" i="18"/>
  <c r="W20" i="19"/>
  <c r="Y22" i="19"/>
  <c r="W24" i="19"/>
  <c r="Z24" i="19" s="1"/>
  <c r="W33" i="19"/>
  <c r="X33" i="19" s="1"/>
  <c r="AA27" i="20"/>
  <c r="W27" i="20"/>
  <c r="B27" i="20"/>
  <c r="Y27" i="20"/>
  <c r="B22" i="20"/>
  <c r="W22" i="20"/>
  <c r="B26" i="20"/>
  <c r="W26" i="20"/>
  <c r="B30" i="20"/>
  <c r="W30" i="20"/>
  <c r="X9" i="18"/>
  <c r="Z9" i="18"/>
  <c r="X17" i="18"/>
  <c r="Z17" i="18"/>
  <c r="AA5" i="18"/>
  <c r="AA7" i="19"/>
  <c r="AA15" i="19"/>
  <c r="W4" i="18"/>
  <c r="Z4" i="18" s="1"/>
  <c r="W5" i="18"/>
  <c r="X5" i="18" s="1"/>
  <c r="W20" i="18"/>
  <c r="X20" i="18" s="1"/>
  <c r="W24" i="18"/>
  <c r="Z24" i="18" s="1"/>
  <c r="Y4" i="19"/>
  <c r="W7" i="19"/>
  <c r="W11" i="19"/>
  <c r="W15" i="19"/>
  <c r="Y9" i="18"/>
  <c r="AA31" i="19"/>
  <c r="W31" i="19"/>
  <c r="B31" i="19"/>
  <c r="Y31" i="19"/>
  <c r="W33" i="18"/>
  <c r="X33" i="18" s="1"/>
  <c r="AA4" i="18"/>
  <c r="Y5" i="18"/>
  <c r="B7" i="18"/>
  <c r="W8" i="18"/>
  <c r="X8" i="18" s="1"/>
  <c r="AA9" i="18"/>
  <c r="M9" i="18" s="1"/>
  <c r="Y11" i="18"/>
  <c r="B15" i="18"/>
  <c r="W16" i="18"/>
  <c r="Z16" i="18" s="1"/>
  <c r="AA17" i="18"/>
  <c r="M17" i="18" s="1"/>
  <c r="Y19" i="18"/>
  <c r="AA6" i="19"/>
  <c r="W6" i="19"/>
  <c r="AA8" i="19"/>
  <c r="AA10" i="19"/>
  <c r="W10" i="19"/>
  <c r="B10" i="19"/>
  <c r="AA12" i="19"/>
  <c r="AA14" i="19"/>
  <c r="W14" i="19"/>
  <c r="B14" i="19"/>
  <c r="X16" i="19"/>
  <c r="AA23" i="19"/>
  <c r="W23" i="19"/>
  <c r="B23" i="19"/>
  <c r="Y23" i="19"/>
  <c r="Y17" i="18"/>
  <c r="AA11" i="19"/>
  <c r="Y22" i="18"/>
  <c r="W28" i="18"/>
  <c r="Z28" i="18" s="1"/>
  <c r="B4" i="18"/>
  <c r="B9" i="18"/>
  <c r="B17" i="18"/>
  <c r="B20" i="18"/>
  <c r="B24" i="18"/>
  <c r="B28" i="18"/>
  <c r="AA32" i="18"/>
  <c r="B4" i="19"/>
  <c r="W4" i="19"/>
  <c r="B7" i="19"/>
  <c r="W8" i="19"/>
  <c r="B11" i="19"/>
  <c r="W12" i="19"/>
  <c r="B15" i="19"/>
  <c r="AA18" i="19"/>
  <c r="W18" i="19"/>
  <c r="B18" i="19"/>
  <c r="AA19" i="19"/>
  <c r="AA27" i="19"/>
  <c r="W27" i="19"/>
  <c r="B27" i="19"/>
  <c r="Y27" i="19"/>
  <c r="B22" i="19"/>
  <c r="W22" i="19"/>
  <c r="B26" i="19"/>
  <c r="W26" i="19"/>
  <c r="B30" i="19"/>
  <c r="W30" i="19"/>
  <c r="Z19" i="18"/>
  <c r="X19" i="18"/>
  <c r="AA31" i="18"/>
  <c r="W31" i="18"/>
  <c r="B31" i="18"/>
  <c r="Y3" i="18"/>
  <c r="AA7" i="18"/>
  <c r="AA19" i="18"/>
  <c r="Y31" i="18"/>
  <c r="B6" i="18"/>
  <c r="B8" i="18"/>
  <c r="W11" i="18"/>
  <c r="B12" i="18"/>
  <c r="W15" i="18"/>
  <c r="B16" i="18"/>
  <c r="AA23" i="18"/>
  <c r="W23" i="18"/>
  <c r="B23" i="18"/>
  <c r="AA24" i="18"/>
  <c r="B32" i="18"/>
  <c r="W32" i="18"/>
  <c r="AA33" i="18"/>
  <c r="B3" i="18"/>
  <c r="W3" i="18"/>
  <c r="AA6" i="18"/>
  <c r="W6" i="18"/>
  <c r="AA8" i="18"/>
  <c r="AA10" i="18"/>
  <c r="W10" i="18"/>
  <c r="B10" i="18"/>
  <c r="AA12" i="18"/>
  <c r="AA14" i="18"/>
  <c r="W14" i="18"/>
  <c r="B14" i="18"/>
  <c r="AA16" i="18"/>
  <c r="AA18" i="18"/>
  <c r="W18" i="18"/>
  <c r="B18" i="18"/>
  <c r="AA20" i="18"/>
  <c r="Y23" i="18"/>
  <c r="AA27" i="18"/>
  <c r="W27" i="18"/>
  <c r="B27" i="18"/>
  <c r="AA28" i="18"/>
  <c r="B22" i="18"/>
  <c r="W22" i="18"/>
  <c r="B26" i="18"/>
  <c r="W26" i="18"/>
  <c r="B30" i="18"/>
  <c r="W30" i="18"/>
  <c r="D2" i="2"/>
  <c r="Z9" i="28" l="1"/>
  <c r="M9" i="28"/>
  <c r="T9" i="28" s="1"/>
  <c r="X20" i="28"/>
  <c r="N20" i="28" s="1"/>
  <c r="U20" i="28" s="1"/>
  <c r="M17" i="28"/>
  <c r="T17" i="28" s="1"/>
  <c r="N21" i="28"/>
  <c r="U21" i="28" s="1"/>
  <c r="X15" i="28"/>
  <c r="N15" i="28" s="1"/>
  <c r="U15" i="28" s="1"/>
  <c r="Z25" i="28"/>
  <c r="X28" i="28"/>
  <c r="N28" i="28" s="1"/>
  <c r="U28" i="28" s="1"/>
  <c r="X3" i="28"/>
  <c r="X16" i="28"/>
  <c r="N16" i="28" s="1"/>
  <c r="U16" i="28" s="1"/>
  <c r="M28" i="28"/>
  <c r="T28" i="28" s="1"/>
  <c r="M16" i="28"/>
  <c r="T16" i="28" s="1"/>
  <c r="M25" i="28"/>
  <c r="T25" i="28" s="1"/>
  <c r="X4" i="28"/>
  <c r="N4" i="28" s="1"/>
  <c r="U4" i="28" s="1"/>
  <c r="X33" i="28"/>
  <c r="Z33" i="28"/>
  <c r="M32" i="28"/>
  <c r="T32" i="28" s="1"/>
  <c r="Z32" i="28"/>
  <c r="N7" i="28"/>
  <c r="U7" i="28" s="1"/>
  <c r="N25" i="28"/>
  <c r="U25" i="28" s="1"/>
  <c r="M3" i="28"/>
  <c r="T3" i="28" s="1"/>
  <c r="X24" i="28"/>
  <c r="N24" i="28" s="1"/>
  <c r="U24" i="28" s="1"/>
  <c r="Z19" i="28"/>
  <c r="M24" i="28"/>
  <c r="T24" i="28" s="1"/>
  <c r="X32" i="28"/>
  <c r="N32" i="28" s="1"/>
  <c r="U32" i="28" s="1"/>
  <c r="M19" i="28"/>
  <c r="T19" i="28" s="1"/>
  <c r="M4" i="28"/>
  <c r="T4" i="28" s="1"/>
  <c r="N3" i="28"/>
  <c r="U3" i="28" s="1"/>
  <c r="N33" i="28"/>
  <c r="U33" i="28" s="1"/>
  <c r="M20" i="28"/>
  <c r="T20" i="28" s="1"/>
  <c r="N11" i="28"/>
  <c r="U11" i="28" s="1"/>
  <c r="X29" i="28"/>
  <c r="N29" i="28" s="1"/>
  <c r="U29" i="28" s="1"/>
  <c r="M29" i="28"/>
  <c r="X13" i="28"/>
  <c r="N13" i="28" s="1"/>
  <c r="U13" i="28" s="1"/>
  <c r="Z13" i="28"/>
  <c r="M13" i="28"/>
  <c r="T13" i="28" s="1"/>
  <c r="T11" i="28"/>
  <c r="N19" i="28"/>
  <c r="U19" i="28" s="1"/>
  <c r="M12" i="28"/>
  <c r="T12" i="28" s="1"/>
  <c r="Z12" i="28"/>
  <c r="X12" i="28"/>
  <c r="N12" i="28" s="1"/>
  <c r="U12" i="28" s="1"/>
  <c r="X26" i="28"/>
  <c r="N26" i="28" s="1"/>
  <c r="U26" i="28" s="1"/>
  <c r="Z26" i="28"/>
  <c r="M26" i="28"/>
  <c r="T26" i="28" s="1"/>
  <c r="Z14" i="28"/>
  <c r="X14" i="28"/>
  <c r="N14" i="28" s="1"/>
  <c r="U14" i="28" s="1"/>
  <c r="M14" i="28"/>
  <c r="T14" i="28" s="1"/>
  <c r="X5" i="28"/>
  <c r="N5" i="28" s="1"/>
  <c r="U5" i="28" s="1"/>
  <c r="M5" i="28"/>
  <c r="T5" i="28" s="1"/>
  <c r="Z5" i="28"/>
  <c r="M15" i="28"/>
  <c r="X6" i="28"/>
  <c r="N6" i="28" s="1"/>
  <c r="U6" i="28" s="1"/>
  <c r="Z6" i="28"/>
  <c r="M6" i="28"/>
  <c r="T6" i="28" s="1"/>
  <c r="Z22" i="28"/>
  <c r="M22" i="28"/>
  <c r="T22" i="28" s="1"/>
  <c r="X22" i="28"/>
  <c r="N22" i="28" s="1"/>
  <c r="M8" i="28"/>
  <c r="T8" i="28" s="1"/>
  <c r="Z8" i="28"/>
  <c r="X8" i="28"/>
  <c r="N8" i="28" s="1"/>
  <c r="X10" i="28"/>
  <c r="N10" i="28" s="1"/>
  <c r="U10" i="28" s="1"/>
  <c r="M10" i="28"/>
  <c r="T10" i="28" s="1"/>
  <c r="Z10" i="28"/>
  <c r="M7" i="28"/>
  <c r="X30" i="28"/>
  <c r="N30" i="28" s="1"/>
  <c r="U30" i="28" s="1"/>
  <c r="M30" i="28"/>
  <c r="T30" i="28" s="1"/>
  <c r="M27" i="28"/>
  <c r="T27" i="28" s="1"/>
  <c r="X27" i="28"/>
  <c r="N27" i="28" s="1"/>
  <c r="U27" i="28" s="1"/>
  <c r="Z23" i="28"/>
  <c r="M23" i="28"/>
  <c r="T23" i="28" s="1"/>
  <c r="X23" i="28"/>
  <c r="N23" i="28" s="1"/>
  <c r="U23" i="28" s="1"/>
  <c r="T33" i="28"/>
  <c r="Z18" i="28"/>
  <c r="N18" i="28"/>
  <c r="U18" i="28" s="1"/>
  <c r="M18" i="28"/>
  <c r="T18" i="28" s="1"/>
  <c r="X18" i="28"/>
  <c r="M31" i="28"/>
  <c r="T31" i="28" s="1"/>
  <c r="X31" i="28"/>
  <c r="N31" i="28" s="1"/>
  <c r="Z29" i="20"/>
  <c r="N7" i="25"/>
  <c r="U7" i="25" s="1"/>
  <c r="M17" i="24"/>
  <c r="T17" i="24" s="1"/>
  <c r="X3" i="27"/>
  <c r="N3" i="27" s="1"/>
  <c r="U3" i="27" s="1"/>
  <c r="M12" i="27"/>
  <c r="T12" i="27" s="1"/>
  <c r="N5" i="18"/>
  <c r="U5" i="18" s="1"/>
  <c r="Z13" i="26"/>
  <c r="M21" i="21"/>
  <c r="T21" i="21" s="1"/>
  <c r="M16" i="20"/>
  <c r="T16" i="20" s="1"/>
  <c r="M16" i="26"/>
  <c r="T16" i="26" s="1"/>
  <c r="N9" i="27"/>
  <c r="U9" i="27" s="1"/>
  <c r="M24" i="24"/>
  <c r="T24" i="24" s="1"/>
  <c r="N17" i="27"/>
  <c r="U17" i="27" s="1"/>
  <c r="X12" i="27"/>
  <c r="N12" i="27" s="1"/>
  <c r="U12" i="27" s="1"/>
  <c r="X4" i="27"/>
  <c r="N4" i="27" s="1"/>
  <c r="U4" i="27" s="1"/>
  <c r="M3" i="27"/>
  <c r="M29" i="23"/>
  <c r="T29" i="23" s="1"/>
  <c r="X3" i="20"/>
  <c r="N3" i="20" s="1"/>
  <c r="U3" i="20" s="1"/>
  <c r="Z24" i="27"/>
  <c r="X32" i="27"/>
  <c r="N32" i="27" s="1"/>
  <c r="U32" i="27" s="1"/>
  <c r="N5" i="27"/>
  <c r="U5" i="27" s="1"/>
  <c r="Z5" i="27"/>
  <c r="Z20" i="26"/>
  <c r="M33" i="26"/>
  <c r="T33" i="26" s="1"/>
  <c r="M5" i="27"/>
  <c r="T5" i="27" s="1"/>
  <c r="Z9" i="27"/>
  <c r="Z25" i="27"/>
  <c r="N25" i="27"/>
  <c r="U25" i="27" s="1"/>
  <c r="X29" i="22"/>
  <c r="N29" i="22" s="1"/>
  <c r="U29" i="22" s="1"/>
  <c r="M9" i="27"/>
  <c r="T9" i="27" s="1"/>
  <c r="M19" i="27"/>
  <c r="T19" i="27" s="1"/>
  <c r="M13" i="26"/>
  <c r="T13" i="26" s="1"/>
  <c r="M17" i="27"/>
  <c r="M25" i="27"/>
  <c r="T25" i="27" s="1"/>
  <c r="M32" i="27"/>
  <c r="X28" i="27"/>
  <c r="N28" i="27" s="1"/>
  <c r="U28" i="27" s="1"/>
  <c r="M33" i="27"/>
  <c r="T33" i="27" s="1"/>
  <c r="N24" i="27"/>
  <c r="U24" i="27" s="1"/>
  <c r="Z17" i="27"/>
  <c r="N19" i="27"/>
  <c r="U19" i="27" s="1"/>
  <c r="Z29" i="24"/>
  <c r="X16" i="26"/>
  <c r="N16" i="26" s="1"/>
  <c r="U16" i="26" s="1"/>
  <c r="Z19" i="27"/>
  <c r="M28" i="27"/>
  <c r="T28" i="27" s="1"/>
  <c r="M4" i="27"/>
  <c r="T4" i="27" s="1"/>
  <c r="N20" i="27"/>
  <c r="U20" i="27" s="1"/>
  <c r="Z16" i="26"/>
  <c r="M21" i="26"/>
  <c r="T21" i="26" s="1"/>
  <c r="M24" i="27"/>
  <c r="T24" i="27" s="1"/>
  <c r="Z33" i="26"/>
  <c r="X16" i="27"/>
  <c r="N16" i="27" s="1"/>
  <c r="U16" i="27" s="1"/>
  <c r="M20" i="27"/>
  <c r="T20" i="27" s="1"/>
  <c r="N11" i="27"/>
  <c r="U11" i="27" s="1"/>
  <c r="M20" i="26"/>
  <c r="T20" i="26" s="1"/>
  <c r="N33" i="27"/>
  <c r="U33" i="27" s="1"/>
  <c r="X21" i="27"/>
  <c r="Z21" i="27"/>
  <c r="N21" i="27"/>
  <c r="U21" i="27" s="1"/>
  <c r="N17" i="26"/>
  <c r="U17" i="26" s="1"/>
  <c r="Z20" i="27"/>
  <c r="M21" i="27"/>
  <c r="Z29" i="25"/>
  <c r="X5" i="26"/>
  <c r="N5" i="26" s="1"/>
  <c r="U5" i="26" s="1"/>
  <c r="Z17" i="26"/>
  <c r="Z25" i="26"/>
  <c r="M17" i="26"/>
  <c r="T17" i="26" s="1"/>
  <c r="M16" i="27"/>
  <c r="T16" i="27" s="1"/>
  <c r="X13" i="27"/>
  <c r="N13" i="27" s="1"/>
  <c r="U13" i="27" s="1"/>
  <c r="Z13" i="27"/>
  <c r="M13" i="27"/>
  <c r="T13" i="27" s="1"/>
  <c r="M19" i="26"/>
  <c r="T19" i="26" s="1"/>
  <c r="X33" i="26"/>
  <c r="N33" i="26" s="1"/>
  <c r="U33" i="26" s="1"/>
  <c r="Z33" i="27"/>
  <c r="X29" i="27"/>
  <c r="N29" i="27" s="1"/>
  <c r="U29" i="27" s="1"/>
  <c r="M29" i="27"/>
  <c r="Z29" i="27"/>
  <c r="N5" i="24"/>
  <c r="U5" i="24" s="1"/>
  <c r="N17" i="25"/>
  <c r="U17" i="25" s="1"/>
  <c r="X24" i="26"/>
  <c r="N24" i="26" s="1"/>
  <c r="U24" i="26" s="1"/>
  <c r="Z19" i="26"/>
  <c r="N19" i="26"/>
  <c r="U19" i="26" s="1"/>
  <c r="M32" i="26"/>
  <c r="T32" i="26" s="1"/>
  <c r="M24" i="26"/>
  <c r="T24" i="26" s="1"/>
  <c r="Z14" i="27"/>
  <c r="N14" i="27"/>
  <c r="U14" i="27" s="1"/>
  <c r="M14" i="27"/>
  <c r="T14" i="27" s="1"/>
  <c r="X14" i="27"/>
  <c r="M11" i="27"/>
  <c r="N20" i="26"/>
  <c r="U20" i="26" s="1"/>
  <c r="M25" i="26"/>
  <c r="T25" i="26" s="1"/>
  <c r="X30" i="27"/>
  <c r="N30" i="27" s="1"/>
  <c r="Z30" i="27"/>
  <c r="M30" i="27"/>
  <c r="T30" i="27" s="1"/>
  <c r="X22" i="27"/>
  <c r="N22" i="27" s="1"/>
  <c r="U22" i="27" s="1"/>
  <c r="Z22" i="27"/>
  <c r="M22" i="27"/>
  <c r="T22" i="27" s="1"/>
  <c r="N9" i="26"/>
  <c r="M7" i="27"/>
  <c r="Z27" i="27"/>
  <c r="M27" i="27"/>
  <c r="T27" i="27" s="1"/>
  <c r="X27" i="27"/>
  <c r="N27" i="27" s="1"/>
  <c r="U27" i="27" s="1"/>
  <c r="Z15" i="27"/>
  <c r="M15" i="27"/>
  <c r="T15" i="27" s="1"/>
  <c r="X15" i="27"/>
  <c r="N15" i="27" s="1"/>
  <c r="U15" i="27" s="1"/>
  <c r="Z10" i="27"/>
  <c r="X10" i="27"/>
  <c r="N10" i="27" s="1"/>
  <c r="U10" i="27" s="1"/>
  <c r="M10" i="27"/>
  <c r="T10" i="27" s="1"/>
  <c r="Z6" i="27"/>
  <c r="X6" i="27"/>
  <c r="N6" i="27" s="1"/>
  <c r="U6" i="27" s="1"/>
  <c r="M6" i="27"/>
  <c r="T6" i="27" s="1"/>
  <c r="Z23" i="27"/>
  <c r="M23" i="27"/>
  <c r="T23" i="27" s="1"/>
  <c r="X23" i="27"/>
  <c r="N23" i="27" s="1"/>
  <c r="U23" i="27" s="1"/>
  <c r="N25" i="26"/>
  <c r="U25" i="26" s="1"/>
  <c r="M11" i="23"/>
  <c r="T11" i="23" s="1"/>
  <c r="M28" i="26"/>
  <c r="T28" i="26" s="1"/>
  <c r="X26" i="27"/>
  <c r="N26" i="27" s="1"/>
  <c r="Z26" i="27"/>
  <c r="M26" i="27"/>
  <c r="T26" i="27" s="1"/>
  <c r="Z18" i="27"/>
  <c r="M18" i="27"/>
  <c r="T18" i="27" s="1"/>
  <c r="X18" i="27"/>
  <c r="N18" i="27" s="1"/>
  <c r="U18" i="27" s="1"/>
  <c r="X21" i="26"/>
  <c r="N21" i="26" s="1"/>
  <c r="M8" i="27"/>
  <c r="T8" i="27" s="1"/>
  <c r="Z8" i="27"/>
  <c r="X8" i="27"/>
  <c r="N8" i="27" s="1"/>
  <c r="Z31" i="27"/>
  <c r="M31" i="27"/>
  <c r="T31" i="27" s="1"/>
  <c r="X31" i="27"/>
  <c r="N31" i="27" s="1"/>
  <c r="U31" i="27" s="1"/>
  <c r="T3" i="26"/>
  <c r="X8" i="23"/>
  <c r="N8" i="23" s="1"/>
  <c r="U8" i="23" s="1"/>
  <c r="N15" i="26"/>
  <c r="U15" i="26" s="1"/>
  <c r="X33" i="24"/>
  <c r="N33" i="24" s="1"/>
  <c r="U33" i="24" s="1"/>
  <c r="M33" i="24"/>
  <c r="T33" i="24" s="1"/>
  <c r="X32" i="26"/>
  <c r="N32" i="26" s="1"/>
  <c r="U32" i="26" s="1"/>
  <c r="M5" i="26"/>
  <c r="T5" i="26" s="1"/>
  <c r="X28" i="26"/>
  <c r="N28" i="26" s="1"/>
  <c r="U28" i="26" s="1"/>
  <c r="X29" i="26"/>
  <c r="N29" i="26" s="1"/>
  <c r="U29" i="26" s="1"/>
  <c r="M29" i="26"/>
  <c r="T29" i="26" s="1"/>
  <c r="Z29" i="26"/>
  <c r="Z32" i="26"/>
  <c r="Z15" i="26"/>
  <c r="X24" i="24"/>
  <c r="N24" i="24" s="1"/>
  <c r="U24" i="24" s="1"/>
  <c r="M9" i="25"/>
  <c r="T9" i="25" s="1"/>
  <c r="N3" i="26"/>
  <c r="U3" i="26" s="1"/>
  <c r="Z22" i="26"/>
  <c r="M22" i="26"/>
  <c r="T22" i="26" s="1"/>
  <c r="X22" i="26"/>
  <c r="N22" i="26" s="1"/>
  <c r="U22" i="26" s="1"/>
  <c r="Z29" i="22"/>
  <c r="X29" i="23"/>
  <c r="N29" i="23" s="1"/>
  <c r="U29" i="23" s="1"/>
  <c r="X29" i="25"/>
  <c r="N29" i="25" s="1"/>
  <c r="O29" i="25" s="1"/>
  <c r="V29" i="25" s="1"/>
  <c r="X26" i="26"/>
  <c r="N26" i="26" s="1"/>
  <c r="U26" i="26" s="1"/>
  <c r="Z26" i="26"/>
  <c r="M26" i="26"/>
  <c r="T26" i="26" s="1"/>
  <c r="M8" i="26"/>
  <c r="T8" i="26" s="1"/>
  <c r="Z8" i="26"/>
  <c r="X8" i="26"/>
  <c r="N8" i="26" s="1"/>
  <c r="U8" i="26" s="1"/>
  <c r="Z18" i="26"/>
  <c r="M18" i="26"/>
  <c r="T18" i="26" s="1"/>
  <c r="X18" i="26"/>
  <c r="N18" i="26" s="1"/>
  <c r="Z14" i="26"/>
  <c r="X14" i="26"/>
  <c r="N14" i="26" s="1"/>
  <c r="U14" i="26" s="1"/>
  <c r="M14" i="26"/>
  <c r="T14" i="26" s="1"/>
  <c r="M10" i="26"/>
  <c r="T10" i="26" s="1"/>
  <c r="Z10" i="26"/>
  <c r="X10" i="26"/>
  <c r="N10" i="26" s="1"/>
  <c r="U10" i="26" s="1"/>
  <c r="M15" i="26"/>
  <c r="Z7" i="26"/>
  <c r="X7" i="26"/>
  <c r="N7" i="26" s="1"/>
  <c r="U7" i="26" s="1"/>
  <c r="M7" i="26"/>
  <c r="T7" i="26" s="1"/>
  <c r="M6" i="26"/>
  <c r="T6" i="26" s="1"/>
  <c r="X6" i="26"/>
  <c r="N6" i="26" s="1"/>
  <c r="U6" i="26" s="1"/>
  <c r="Z6" i="26"/>
  <c r="M12" i="26"/>
  <c r="T12" i="26" s="1"/>
  <c r="X12" i="26"/>
  <c r="N12" i="26" s="1"/>
  <c r="Z12" i="26"/>
  <c r="Z31" i="26"/>
  <c r="M31" i="26"/>
  <c r="T31" i="26" s="1"/>
  <c r="X31" i="26"/>
  <c r="N31" i="26" s="1"/>
  <c r="U31" i="26" s="1"/>
  <c r="X4" i="26"/>
  <c r="N4" i="26" s="1"/>
  <c r="U4" i="26" s="1"/>
  <c r="Z4" i="26"/>
  <c r="M4" i="26"/>
  <c r="T4" i="26" s="1"/>
  <c r="Z11" i="26"/>
  <c r="X11" i="26"/>
  <c r="N11" i="26" s="1"/>
  <c r="U11" i="26" s="1"/>
  <c r="M11" i="26"/>
  <c r="T11" i="26" s="1"/>
  <c r="N17" i="23"/>
  <c r="U17" i="23" s="1"/>
  <c r="X30" i="26"/>
  <c r="N30" i="26" s="1"/>
  <c r="Z30" i="26"/>
  <c r="M30" i="26"/>
  <c r="T30" i="26" s="1"/>
  <c r="Z27" i="26"/>
  <c r="M27" i="26"/>
  <c r="T27" i="26" s="1"/>
  <c r="X27" i="26"/>
  <c r="N27" i="26" s="1"/>
  <c r="Z23" i="26"/>
  <c r="M23" i="26"/>
  <c r="T23" i="26" s="1"/>
  <c r="X23" i="26"/>
  <c r="N23" i="26" s="1"/>
  <c r="M28" i="23"/>
  <c r="T28" i="23" s="1"/>
  <c r="M5" i="25"/>
  <c r="T5" i="25" s="1"/>
  <c r="M24" i="22"/>
  <c r="T24" i="22" s="1"/>
  <c r="M25" i="25"/>
  <c r="T25" i="25" s="1"/>
  <c r="X28" i="22"/>
  <c r="N28" i="22" s="1"/>
  <c r="U28" i="22" s="1"/>
  <c r="M28" i="22"/>
  <c r="T28" i="22" s="1"/>
  <c r="Z3" i="24"/>
  <c r="Z19" i="24"/>
  <c r="X5" i="25"/>
  <c r="N5" i="25" s="1"/>
  <c r="U5" i="25" s="1"/>
  <c r="M3" i="24"/>
  <c r="T3" i="24" s="1"/>
  <c r="N13" i="24"/>
  <c r="U13" i="24" s="1"/>
  <c r="X32" i="25"/>
  <c r="N32" i="25" s="1"/>
  <c r="Z25" i="25"/>
  <c r="M32" i="25"/>
  <c r="T32" i="25" s="1"/>
  <c r="M9" i="24"/>
  <c r="T9" i="24" s="1"/>
  <c r="M20" i="19"/>
  <c r="T20" i="19" s="1"/>
  <c r="X33" i="20"/>
  <c r="Z32" i="22"/>
  <c r="Z24" i="22"/>
  <c r="X11" i="22"/>
  <c r="N11" i="22" s="1"/>
  <c r="U11" i="22" s="1"/>
  <c r="M8" i="23"/>
  <c r="T8" i="23" s="1"/>
  <c r="X4" i="23"/>
  <c r="N4" i="23" s="1"/>
  <c r="U4" i="23" s="1"/>
  <c r="M21" i="25"/>
  <c r="T21" i="25" s="1"/>
  <c r="M32" i="22"/>
  <c r="T32" i="22" s="1"/>
  <c r="M4" i="23"/>
  <c r="X28" i="23"/>
  <c r="N28" i="23" s="1"/>
  <c r="U28" i="23" s="1"/>
  <c r="X28" i="25"/>
  <c r="N28" i="25" s="1"/>
  <c r="U28" i="25" s="1"/>
  <c r="M13" i="24"/>
  <c r="T13" i="24" s="1"/>
  <c r="M15" i="22"/>
  <c r="T15" i="22" s="1"/>
  <c r="X32" i="24"/>
  <c r="N32" i="24" s="1"/>
  <c r="U32" i="24" s="1"/>
  <c r="M29" i="24"/>
  <c r="T29" i="24" s="1"/>
  <c r="Z13" i="24"/>
  <c r="Z16" i="24"/>
  <c r="X16" i="24"/>
  <c r="N16" i="24" s="1"/>
  <c r="U16" i="24" s="1"/>
  <c r="M33" i="23"/>
  <c r="T33" i="23" s="1"/>
  <c r="X15" i="23"/>
  <c r="N15" i="23" s="1"/>
  <c r="U15" i="23" s="1"/>
  <c r="N3" i="24"/>
  <c r="U3" i="24" s="1"/>
  <c r="N9" i="25"/>
  <c r="U9" i="25" s="1"/>
  <c r="Z9" i="25"/>
  <c r="M7" i="25"/>
  <c r="T7" i="25" s="1"/>
  <c r="N15" i="22"/>
  <c r="U15" i="22" s="1"/>
  <c r="M32" i="24"/>
  <c r="T32" i="24" s="1"/>
  <c r="M20" i="22"/>
  <c r="T20" i="22" s="1"/>
  <c r="N24" i="22"/>
  <c r="U24" i="22" s="1"/>
  <c r="T17" i="23"/>
  <c r="Z21" i="25"/>
  <c r="Z15" i="22"/>
  <c r="X19" i="23"/>
  <c r="N19" i="23" s="1"/>
  <c r="U19" i="23" s="1"/>
  <c r="Z12" i="23"/>
  <c r="X16" i="23"/>
  <c r="N16" i="23" s="1"/>
  <c r="U16" i="23" s="1"/>
  <c r="N20" i="24"/>
  <c r="U20" i="24" s="1"/>
  <c r="M16" i="23"/>
  <c r="T16" i="23" s="1"/>
  <c r="M17" i="25"/>
  <c r="X3" i="25"/>
  <c r="N3" i="25" s="1"/>
  <c r="U3" i="25" s="1"/>
  <c r="Z3" i="25"/>
  <c r="M3" i="25"/>
  <c r="T3" i="25" s="1"/>
  <c r="X16" i="20"/>
  <c r="N16" i="20" s="1"/>
  <c r="U16" i="20" s="1"/>
  <c r="Z9" i="19"/>
  <c r="N33" i="23"/>
  <c r="U33" i="23" s="1"/>
  <c r="X13" i="25"/>
  <c r="N13" i="25" s="1"/>
  <c r="U13" i="25" s="1"/>
  <c r="Z13" i="25"/>
  <c r="M13" i="25"/>
  <c r="X9" i="24"/>
  <c r="N9" i="24" s="1"/>
  <c r="Z9" i="24"/>
  <c r="X17" i="24"/>
  <c r="N17" i="24" s="1"/>
  <c r="U17" i="24" s="1"/>
  <c r="Z17" i="24"/>
  <c r="N25" i="23"/>
  <c r="M16" i="22"/>
  <c r="T16" i="22" s="1"/>
  <c r="M9" i="22"/>
  <c r="T9" i="22" s="1"/>
  <c r="X21" i="25"/>
  <c r="N21" i="25" s="1"/>
  <c r="U21" i="25" s="1"/>
  <c r="N11" i="25"/>
  <c r="U11" i="25" s="1"/>
  <c r="M6" i="25"/>
  <c r="T6" i="25" s="1"/>
  <c r="Z6" i="25"/>
  <c r="X6" i="25"/>
  <c r="N6" i="25" s="1"/>
  <c r="U6" i="25" s="1"/>
  <c r="Z33" i="21"/>
  <c r="Z4" i="20"/>
  <c r="X9" i="22"/>
  <c r="N9" i="22" s="1"/>
  <c r="U9" i="22" s="1"/>
  <c r="X28" i="24"/>
  <c r="N28" i="24" s="1"/>
  <c r="U28" i="24" s="1"/>
  <c r="X26" i="25"/>
  <c r="N26" i="25" s="1"/>
  <c r="Z26" i="25"/>
  <c r="M26" i="25"/>
  <c r="T26" i="25" s="1"/>
  <c r="M14" i="25"/>
  <c r="T14" i="25" s="1"/>
  <c r="Z14" i="25"/>
  <c r="X14" i="25"/>
  <c r="N14" i="25" s="1"/>
  <c r="U14" i="25" s="1"/>
  <c r="M10" i="25"/>
  <c r="T10" i="25" s="1"/>
  <c r="Z10" i="25"/>
  <c r="X10" i="25"/>
  <c r="N10" i="25" s="1"/>
  <c r="Z15" i="25"/>
  <c r="X15" i="25"/>
  <c r="N15" i="25" s="1"/>
  <c r="M15" i="25"/>
  <c r="T15" i="25" s="1"/>
  <c r="X9" i="19"/>
  <c r="N9" i="19" s="1"/>
  <c r="U9" i="19" s="1"/>
  <c r="X11" i="20"/>
  <c r="N11" i="20" s="1"/>
  <c r="O11" i="20" s="1"/>
  <c r="V11" i="20" s="1"/>
  <c r="M3" i="20"/>
  <c r="T3" i="20" s="1"/>
  <c r="X16" i="22"/>
  <c r="N16" i="22" s="1"/>
  <c r="U16" i="22" s="1"/>
  <c r="Z33" i="23"/>
  <c r="N4" i="22"/>
  <c r="U4" i="22" s="1"/>
  <c r="M19" i="23"/>
  <c r="T19" i="23" s="1"/>
  <c r="M13" i="22"/>
  <c r="T13" i="22" s="1"/>
  <c r="Z11" i="23"/>
  <c r="N19" i="24"/>
  <c r="U19" i="24" s="1"/>
  <c r="M28" i="24"/>
  <c r="T28" i="24" s="1"/>
  <c r="Z23" i="25"/>
  <c r="M23" i="25"/>
  <c r="T23" i="25" s="1"/>
  <c r="X23" i="25"/>
  <c r="N23" i="25" s="1"/>
  <c r="U23" i="25" s="1"/>
  <c r="Z4" i="25"/>
  <c r="X4" i="25"/>
  <c r="N4" i="25" s="1"/>
  <c r="U4" i="25" s="1"/>
  <c r="M4" i="25"/>
  <c r="T4" i="25" s="1"/>
  <c r="X21" i="24"/>
  <c r="N21" i="24" s="1"/>
  <c r="U21" i="24" s="1"/>
  <c r="Z21" i="24"/>
  <c r="M21" i="24"/>
  <c r="Z33" i="25"/>
  <c r="M33" i="25"/>
  <c r="T33" i="25" s="1"/>
  <c r="X33" i="25"/>
  <c r="N33" i="25" s="1"/>
  <c r="U33" i="25" s="1"/>
  <c r="Z24" i="25"/>
  <c r="M24" i="25"/>
  <c r="T24" i="25" s="1"/>
  <c r="X24" i="25"/>
  <c r="N24" i="25" s="1"/>
  <c r="U24" i="25" s="1"/>
  <c r="M28" i="25"/>
  <c r="Z27" i="25"/>
  <c r="X27" i="25"/>
  <c r="N27" i="25" s="1"/>
  <c r="U27" i="25" s="1"/>
  <c r="M27" i="25"/>
  <c r="T27" i="25" s="1"/>
  <c r="M24" i="23"/>
  <c r="T24" i="23" s="1"/>
  <c r="M12" i="25"/>
  <c r="T12" i="25" s="1"/>
  <c r="Z12" i="25"/>
  <c r="X12" i="25"/>
  <c r="N12" i="25" s="1"/>
  <c r="X18" i="25"/>
  <c r="N18" i="25" s="1"/>
  <c r="U18" i="25" s="1"/>
  <c r="M18" i="25"/>
  <c r="T18" i="25" s="1"/>
  <c r="Z18" i="25"/>
  <c r="Z19" i="25"/>
  <c r="M19" i="25"/>
  <c r="T19" i="25" s="1"/>
  <c r="X19" i="25"/>
  <c r="N19" i="25" s="1"/>
  <c r="X25" i="24"/>
  <c r="N25" i="24" s="1"/>
  <c r="U25" i="24" s="1"/>
  <c r="Z25" i="24"/>
  <c r="M25" i="24"/>
  <c r="Z16" i="22"/>
  <c r="N5" i="23"/>
  <c r="U5" i="23" s="1"/>
  <c r="M20" i="23"/>
  <c r="T20" i="23" s="1"/>
  <c r="X30" i="25"/>
  <c r="N30" i="25" s="1"/>
  <c r="U30" i="25" s="1"/>
  <c r="Z30" i="25"/>
  <c r="M30" i="25"/>
  <c r="T30" i="25" s="1"/>
  <c r="X22" i="25"/>
  <c r="N22" i="25" s="1"/>
  <c r="U22" i="25" s="1"/>
  <c r="Z22" i="25"/>
  <c r="M22" i="25"/>
  <c r="T22" i="25" s="1"/>
  <c r="M16" i="25"/>
  <c r="T16" i="25" s="1"/>
  <c r="Z16" i="25"/>
  <c r="X16" i="25"/>
  <c r="N16" i="25" s="1"/>
  <c r="U16" i="25" s="1"/>
  <c r="M8" i="25"/>
  <c r="T8" i="25" s="1"/>
  <c r="X8" i="25"/>
  <c r="N8" i="25" s="1"/>
  <c r="U8" i="25" s="1"/>
  <c r="Z8" i="25"/>
  <c r="Z31" i="25"/>
  <c r="X31" i="25"/>
  <c r="N31" i="25" s="1"/>
  <c r="U31" i="25" s="1"/>
  <c r="M31" i="25"/>
  <c r="T31" i="25" s="1"/>
  <c r="Z20" i="25"/>
  <c r="M20" i="25"/>
  <c r="T20" i="25" s="1"/>
  <c r="X20" i="25"/>
  <c r="N20" i="25" s="1"/>
  <c r="U20" i="25" s="1"/>
  <c r="X13" i="23"/>
  <c r="N13" i="23" s="1"/>
  <c r="U13" i="23" s="1"/>
  <c r="M13" i="23"/>
  <c r="N19" i="22"/>
  <c r="U19" i="22" s="1"/>
  <c r="X3" i="22"/>
  <c r="N3" i="22" s="1"/>
  <c r="U3" i="22" s="1"/>
  <c r="X33" i="22"/>
  <c r="N33" i="22" s="1"/>
  <c r="U33" i="22" s="1"/>
  <c r="X32" i="23"/>
  <c r="N32" i="23" s="1"/>
  <c r="N25" i="22"/>
  <c r="U25" i="22" s="1"/>
  <c r="X26" i="24"/>
  <c r="N26" i="24" s="1"/>
  <c r="U26" i="24" s="1"/>
  <c r="Z26" i="24"/>
  <c r="M26" i="24"/>
  <c r="T26" i="24" s="1"/>
  <c r="Z22" i="24"/>
  <c r="M22" i="24"/>
  <c r="T22" i="24" s="1"/>
  <c r="X22" i="24"/>
  <c r="N22" i="24" s="1"/>
  <c r="U22" i="24" s="1"/>
  <c r="Z4" i="24"/>
  <c r="M4" i="24"/>
  <c r="T4" i="24" s="1"/>
  <c r="X4" i="24"/>
  <c r="N4" i="24" s="1"/>
  <c r="U4" i="24" s="1"/>
  <c r="X21" i="23"/>
  <c r="N21" i="23" s="1"/>
  <c r="U21" i="23" s="1"/>
  <c r="Z21" i="23"/>
  <c r="M21" i="23"/>
  <c r="Z15" i="24"/>
  <c r="X15" i="24"/>
  <c r="N15" i="24" s="1"/>
  <c r="U15" i="24" s="1"/>
  <c r="M15" i="24"/>
  <c r="T15" i="24" s="1"/>
  <c r="T5" i="24"/>
  <c r="Z7" i="24"/>
  <c r="X7" i="24"/>
  <c r="N7" i="24" s="1"/>
  <c r="U7" i="24" s="1"/>
  <c r="M7" i="24"/>
  <c r="T7" i="24" s="1"/>
  <c r="Z29" i="21"/>
  <c r="X25" i="21"/>
  <c r="N25" i="21" s="1"/>
  <c r="U25" i="21" s="1"/>
  <c r="M19" i="22"/>
  <c r="T19" i="22" s="1"/>
  <c r="M33" i="22"/>
  <c r="T33" i="22" s="1"/>
  <c r="X24" i="23"/>
  <c r="N24" i="23" s="1"/>
  <c r="U24" i="23" s="1"/>
  <c r="M32" i="23"/>
  <c r="T32" i="23" s="1"/>
  <c r="X20" i="23"/>
  <c r="N20" i="23" s="1"/>
  <c r="U20" i="23" s="1"/>
  <c r="M8" i="24"/>
  <c r="T8" i="24" s="1"/>
  <c r="Z8" i="24"/>
  <c r="X8" i="24"/>
  <c r="N8" i="24" s="1"/>
  <c r="U8" i="24" s="1"/>
  <c r="M6" i="24"/>
  <c r="T6" i="24" s="1"/>
  <c r="Z6" i="24"/>
  <c r="X6" i="24"/>
  <c r="N6" i="24" s="1"/>
  <c r="U6" i="24" s="1"/>
  <c r="X9" i="23"/>
  <c r="N9" i="23" s="1"/>
  <c r="U9" i="23" s="1"/>
  <c r="M9" i="23"/>
  <c r="Z9" i="23"/>
  <c r="M19" i="24"/>
  <c r="Z31" i="24"/>
  <c r="M31" i="24"/>
  <c r="T31" i="24" s="1"/>
  <c r="X31" i="24"/>
  <c r="N31" i="24" s="1"/>
  <c r="U31" i="24" s="1"/>
  <c r="M12" i="24"/>
  <c r="T12" i="24" s="1"/>
  <c r="Z12" i="24"/>
  <c r="X12" i="24"/>
  <c r="N12" i="24" s="1"/>
  <c r="U12" i="24" s="1"/>
  <c r="Z23" i="24"/>
  <c r="M23" i="24"/>
  <c r="T23" i="24" s="1"/>
  <c r="X23" i="24"/>
  <c r="N23" i="24" s="1"/>
  <c r="U23" i="24" s="1"/>
  <c r="Z19" i="22"/>
  <c r="Z20" i="22"/>
  <c r="M3" i="22"/>
  <c r="T3" i="22" s="1"/>
  <c r="N12" i="23"/>
  <c r="U12" i="23" s="1"/>
  <c r="Z20" i="23"/>
  <c r="X30" i="24"/>
  <c r="N30" i="24" s="1"/>
  <c r="U30" i="24" s="1"/>
  <c r="Z30" i="24"/>
  <c r="M30" i="24"/>
  <c r="T30" i="24" s="1"/>
  <c r="Z27" i="24"/>
  <c r="M27" i="24"/>
  <c r="T27" i="24" s="1"/>
  <c r="X27" i="24"/>
  <c r="N27" i="24" s="1"/>
  <c r="U27" i="24" s="1"/>
  <c r="M16" i="24"/>
  <c r="Z18" i="24"/>
  <c r="M18" i="24"/>
  <c r="T18" i="24" s="1"/>
  <c r="X18" i="24"/>
  <c r="N18" i="24" s="1"/>
  <c r="M14" i="24"/>
  <c r="T14" i="24" s="1"/>
  <c r="Z14" i="24"/>
  <c r="X14" i="24"/>
  <c r="N14" i="24" s="1"/>
  <c r="U14" i="24" s="1"/>
  <c r="M10" i="24"/>
  <c r="T10" i="24" s="1"/>
  <c r="Z10" i="24"/>
  <c r="X10" i="24"/>
  <c r="N10" i="24" s="1"/>
  <c r="U10" i="24" s="1"/>
  <c r="Z11" i="24"/>
  <c r="X11" i="24"/>
  <c r="N11" i="24" s="1"/>
  <c r="U11" i="24" s="1"/>
  <c r="M11" i="24"/>
  <c r="T11" i="24" s="1"/>
  <c r="M5" i="23"/>
  <c r="T5" i="23" s="1"/>
  <c r="Z5" i="23"/>
  <c r="N7" i="22"/>
  <c r="U7" i="22" s="1"/>
  <c r="X20" i="22"/>
  <c r="N20" i="22" s="1"/>
  <c r="U20" i="22" s="1"/>
  <c r="M7" i="22"/>
  <c r="T7" i="22" s="1"/>
  <c r="X30" i="23"/>
  <c r="N30" i="23" s="1"/>
  <c r="Z30" i="23"/>
  <c r="M30" i="23"/>
  <c r="T30" i="23" s="1"/>
  <c r="Z27" i="23"/>
  <c r="M27" i="23"/>
  <c r="T27" i="23" s="1"/>
  <c r="X27" i="23"/>
  <c r="N27" i="23" s="1"/>
  <c r="U27" i="23" s="1"/>
  <c r="Z23" i="23"/>
  <c r="M23" i="23"/>
  <c r="T23" i="23" s="1"/>
  <c r="X23" i="23"/>
  <c r="N23" i="23" s="1"/>
  <c r="U23" i="23" s="1"/>
  <c r="Z18" i="23"/>
  <c r="M18" i="23"/>
  <c r="T18" i="23" s="1"/>
  <c r="X18" i="23"/>
  <c r="N18" i="23" s="1"/>
  <c r="M12" i="23"/>
  <c r="N11" i="23"/>
  <c r="U11" i="23" s="1"/>
  <c r="M25" i="22"/>
  <c r="Z14" i="23"/>
  <c r="X14" i="23"/>
  <c r="N14" i="23" s="1"/>
  <c r="U14" i="23" s="1"/>
  <c r="M14" i="23"/>
  <c r="T14" i="23" s="1"/>
  <c r="Z22" i="23"/>
  <c r="M22" i="23"/>
  <c r="T22" i="23" s="1"/>
  <c r="X22" i="23"/>
  <c r="N22" i="23" s="1"/>
  <c r="U22" i="23" s="1"/>
  <c r="Z13" i="18"/>
  <c r="Z3" i="23"/>
  <c r="X3" i="23"/>
  <c r="N3" i="23" s="1"/>
  <c r="U3" i="23" s="1"/>
  <c r="M3" i="23"/>
  <c r="T3" i="23" s="1"/>
  <c r="Z7" i="23"/>
  <c r="X7" i="23"/>
  <c r="N7" i="23" s="1"/>
  <c r="U7" i="23" s="1"/>
  <c r="M7" i="23"/>
  <c r="T7" i="23" s="1"/>
  <c r="M4" i="22"/>
  <c r="T4" i="22" s="1"/>
  <c r="Z4" i="22"/>
  <c r="M15" i="23"/>
  <c r="X13" i="22"/>
  <c r="N13" i="22" s="1"/>
  <c r="U13" i="22" s="1"/>
  <c r="Z10" i="23"/>
  <c r="M10" i="23"/>
  <c r="T10" i="23" s="1"/>
  <c r="X10" i="23"/>
  <c r="N10" i="23" s="1"/>
  <c r="U10" i="23" s="1"/>
  <c r="Z31" i="23"/>
  <c r="M31" i="23"/>
  <c r="T31" i="23" s="1"/>
  <c r="X31" i="23"/>
  <c r="N31" i="23" s="1"/>
  <c r="U31" i="23" s="1"/>
  <c r="X21" i="22"/>
  <c r="N21" i="22" s="1"/>
  <c r="U21" i="22" s="1"/>
  <c r="Z21" i="22"/>
  <c r="M21" i="22"/>
  <c r="T21" i="22" s="1"/>
  <c r="X17" i="22"/>
  <c r="N17" i="22" s="1"/>
  <c r="U17" i="22" s="1"/>
  <c r="Z17" i="22"/>
  <c r="M17" i="22"/>
  <c r="T17" i="22" s="1"/>
  <c r="N32" i="22"/>
  <c r="U32" i="22" s="1"/>
  <c r="X26" i="23"/>
  <c r="N26" i="23" s="1"/>
  <c r="U26" i="23" s="1"/>
  <c r="Z26" i="23"/>
  <c r="M26" i="23"/>
  <c r="T26" i="23" s="1"/>
  <c r="Z6" i="23"/>
  <c r="X6" i="23"/>
  <c r="N6" i="23" s="1"/>
  <c r="U6" i="23" s="1"/>
  <c r="M6" i="23"/>
  <c r="T6" i="23" s="1"/>
  <c r="X5" i="22"/>
  <c r="N5" i="22" s="1"/>
  <c r="Z5" i="22"/>
  <c r="M5" i="22"/>
  <c r="T5" i="22" s="1"/>
  <c r="M12" i="22"/>
  <c r="T12" i="22" s="1"/>
  <c r="Z12" i="22"/>
  <c r="X12" i="22"/>
  <c r="N12" i="22" s="1"/>
  <c r="Z14" i="22"/>
  <c r="M14" i="22"/>
  <c r="T14" i="22" s="1"/>
  <c r="X14" i="22"/>
  <c r="N14" i="22" s="1"/>
  <c r="U14" i="22" s="1"/>
  <c r="M8" i="22"/>
  <c r="T8" i="22" s="1"/>
  <c r="Z8" i="22"/>
  <c r="X8" i="22"/>
  <c r="N8" i="22" s="1"/>
  <c r="U8" i="22" s="1"/>
  <c r="M33" i="20"/>
  <c r="T33" i="20" s="1"/>
  <c r="X26" i="22"/>
  <c r="N26" i="22" s="1"/>
  <c r="U26" i="22" s="1"/>
  <c r="Z26" i="22"/>
  <c r="M26" i="22"/>
  <c r="T26" i="22" s="1"/>
  <c r="Z27" i="22"/>
  <c r="M27" i="22"/>
  <c r="T27" i="22" s="1"/>
  <c r="X27" i="22"/>
  <c r="N27" i="22" s="1"/>
  <c r="U27" i="22" s="1"/>
  <c r="Z6" i="22"/>
  <c r="X6" i="22"/>
  <c r="N6" i="22" s="1"/>
  <c r="U6" i="22" s="1"/>
  <c r="M6" i="22"/>
  <c r="T6" i="22" s="1"/>
  <c r="Z23" i="22"/>
  <c r="M23" i="22"/>
  <c r="T23" i="22" s="1"/>
  <c r="X23" i="22"/>
  <c r="N23" i="22" s="1"/>
  <c r="Z31" i="22"/>
  <c r="M31" i="22"/>
  <c r="T31" i="22" s="1"/>
  <c r="X31" i="22"/>
  <c r="N31" i="22" s="1"/>
  <c r="M11" i="22"/>
  <c r="Z18" i="22"/>
  <c r="X18" i="22"/>
  <c r="N18" i="22" s="1"/>
  <c r="U18" i="22" s="1"/>
  <c r="M18" i="22"/>
  <c r="T18" i="22" s="1"/>
  <c r="M25" i="20"/>
  <c r="T25" i="20" s="1"/>
  <c r="M29" i="21"/>
  <c r="T29" i="21" s="1"/>
  <c r="X30" i="22"/>
  <c r="N30" i="22" s="1"/>
  <c r="U30" i="22" s="1"/>
  <c r="Z30" i="22"/>
  <c r="M30" i="22"/>
  <c r="T30" i="22" s="1"/>
  <c r="X22" i="22"/>
  <c r="N22" i="22" s="1"/>
  <c r="U22" i="22" s="1"/>
  <c r="Z22" i="22"/>
  <c r="M22" i="22"/>
  <c r="T22" i="22" s="1"/>
  <c r="X10" i="22"/>
  <c r="N10" i="22" s="1"/>
  <c r="M10" i="22"/>
  <c r="T10" i="22" s="1"/>
  <c r="Z10" i="22"/>
  <c r="X12" i="18"/>
  <c r="N12" i="18" s="1"/>
  <c r="U12" i="18" s="1"/>
  <c r="N16" i="19"/>
  <c r="U16" i="19" s="1"/>
  <c r="X29" i="18"/>
  <c r="X19" i="20"/>
  <c r="N19" i="20" s="1"/>
  <c r="U19" i="20" s="1"/>
  <c r="Z24" i="21"/>
  <c r="X24" i="19"/>
  <c r="N24" i="19" s="1"/>
  <c r="U24" i="19" s="1"/>
  <c r="M25" i="18"/>
  <c r="T25" i="18" s="1"/>
  <c r="X32" i="19"/>
  <c r="N32" i="19" s="1"/>
  <c r="U32" i="19" s="1"/>
  <c r="Z28" i="21"/>
  <c r="X5" i="21"/>
  <c r="N5" i="21" s="1"/>
  <c r="U5" i="21" s="1"/>
  <c r="Z25" i="18"/>
  <c r="M32" i="19"/>
  <c r="T32" i="19" s="1"/>
  <c r="N29" i="21"/>
  <c r="U29" i="21" s="1"/>
  <c r="M5" i="21"/>
  <c r="T5" i="21" s="1"/>
  <c r="X13" i="20"/>
  <c r="N13" i="20" s="1"/>
  <c r="U13" i="20" s="1"/>
  <c r="N9" i="20"/>
  <c r="U9" i="20" s="1"/>
  <c r="X21" i="21"/>
  <c r="N21" i="21" s="1"/>
  <c r="U21" i="21" s="1"/>
  <c r="M24" i="20"/>
  <c r="T24" i="20" s="1"/>
  <c r="Z13" i="20"/>
  <c r="Z9" i="20"/>
  <c r="M24" i="21"/>
  <c r="T24" i="21" s="1"/>
  <c r="M9" i="20"/>
  <c r="T9" i="20" s="1"/>
  <c r="M25" i="21"/>
  <c r="T25" i="21" s="1"/>
  <c r="X24" i="20"/>
  <c r="N24" i="20" s="1"/>
  <c r="U24" i="20" s="1"/>
  <c r="X7" i="20"/>
  <c r="N7" i="20" s="1"/>
  <c r="U7" i="20" s="1"/>
  <c r="Z7" i="20"/>
  <c r="N29" i="18"/>
  <c r="U29" i="18" s="1"/>
  <c r="Z11" i="20"/>
  <c r="M4" i="20"/>
  <c r="T4" i="20" s="1"/>
  <c r="X13" i="21"/>
  <c r="N13" i="21" s="1"/>
  <c r="U13" i="21" s="1"/>
  <c r="Z13" i="21"/>
  <c r="M29" i="18"/>
  <c r="T29" i="18" s="1"/>
  <c r="M19" i="20"/>
  <c r="T19" i="20" s="1"/>
  <c r="N28" i="21"/>
  <c r="U28" i="21" s="1"/>
  <c r="M16" i="21"/>
  <c r="T16" i="21" s="1"/>
  <c r="N9" i="21"/>
  <c r="U9" i="21" s="1"/>
  <c r="X25" i="20"/>
  <c r="N25" i="20" s="1"/>
  <c r="U25" i="20" s="1"/>
  <c r="Z25" i="20"/>
  <c r="X16" i="21"/>
  <c r="N16" i="21" s="1"/>
  <c r="U16" i="21" s="1"/>
  <c r="X4" i="18"/>
  <c r="N4" i="18" s="1"/>
  <c r="U4" i="18" s="1"/>
  <c r="N13" i="18"/>
  <c r="U13" i="18" s="1"/>
  <c r="M13" i="18"/>
  <c r="T13" i="18" s="1"/>
  <c r="M33" i="21"/>
  <c r="T33" i="21" s="1"/>
  <c r="M29" i="20"/>
  <c r="T29" i="20" s="1"/>
  <c r="M4" i="18"/>
  <c r="T4" i="18" s="1"/>
  <c r="M24" i="19"/>
  <c r="T24" i="19" s="1"/>
  <c r="X32" i="20"/>
  <c r="N32" i="20" s="1"/>
  <c r="U32" i="20" s="1"/>
  <c r="Z8" i="18"/>
  <c r="Z20" i="20"/>
  <c r="M20" i="20"/>
  <c r="T20" i="20" s="1"/>
  <c r="N17" i="21"/>
  <c r="U17" i="21" s="1"/>
  <c r="T3" i="21"/>
  <c r="M25" i="19"/>
  <c r="T25" i="19" s="1"/>
  <c r="N28" i="19"/>
  <c r="U28" i="19" s="1"/>
  <c r="M33" i="19"/>
  <c r="T33" i="19" s="1"/>
  <c r="Z28" i="19"/>
  <c r="N3" i="21"/>
  <c r="U3" i="21" s="1"/>
  <c r="N19" i="18"/>
  <c r="U19" i="18" s="1"/>
  <c r="X19" i="19"/>
  <c r="N19" i="19" s="1"/>
  <c r="U19" i="19" s="1"/>
  <c r="M5" i="19"/>
  <c r="T5" i="19" s="1"/>
  <c r="X5" i="19"/>
  <c r="N5" i="19" s="1"/>
  <c r="U5" i="19" s="1"/>
  <c r="M13" i="21"/>
  <c r="M19" i="19"/>
  <c r="T19" i="19" s="1"/>
  <c r="Z21" i="18"/>
  <c r="N21" i="18"/>
  <c r="U21" i="18" s="1"/>
  <c r="N33" i="20"/>
  <c r="U33" i="20" s="1"/>
  <c r="M13" i="19"/>
  <c r="T13" i="19" s="1"/>
  <c r="Z21" i="21"/>
  <c r="X18" i="21"/>
  <c r="N18" i="21" s="1"/>
  <c r="U18" i="21" s="1"/>
  <c r="M18" i="21"/>
  <c r="T18" i="21" s="1"/>
  <c r="Z18" i="21"/>
  <c r="M14" i="21"/>
  <c r="T14" i="21" s="1"/>
  <c r="Z14" i="21"/>
  <c r="X14" i="21"/>
  <c r="N14" i="21" s="1"/>
  <c r="U14" i="21" s="1"/>
  <c r="N24" i="21"/>
  <c r="U24" i="21" s="1"/>
  <c r="M24" i="18"/>
  <c r="T24" i="18" s="1"/>
  <c r="X24" i="18"/>
  <c r="N24" i="18" s="1"/>
  <c r="X7" i="18"/>
  <c r="N7" i="18" s="1"/>
  <c r="U7" i="18" s="1"/>
  <c r="N20" i="20"/>
  <c r="U20" i="20" s="1"/>
  <c r="M32" i="20"/>
  <c r="T32" i="20" s="1"/>
  <c r="X28" i="20"/>
  <c r="N28" i="20" s="1"/>
  <c r="X25" i="19"/>
  <c r="N25" i="19" s="1"/>
  <c r="X13" i="19"/>
  <c r="N13" i="19" s="1"/>
  <c r="U13" i="19" s="1"/>
  <c r="M12" i="21"/>
  <c r="T12" i="21" s="1"/>
  <c r="Z12" i="21"/>
  <c r="X12" i="21"/>
  <c r="N12" i="21" s="1"/>
  <c r="Z19" i="21"/>
  <c r="M19" i="21"/>
  <c r="T19" i="21" s="1"/>
  <c r="X19" i="21"/>
  <c r="N19" i="21" s="1"/>
  <c r="U19" i="21" s="1"/>
  <c r="X17" i="20"/>
  <c r="N17" i="20" s="1"/>
  <c r="U17" i="20" s="1"/>
  <c r="M17" i="20"/>
  <c r="Z17" i="20"/>
  <c r="X21" i="20"/>
  <c r="N21" i="20" s="1"/>
  <c r="U21" i="20" s="1"/>
  <c r="Z21" i="20"/>
  <c r="M21" i="20"/>
  <c r="Z11" i="21"/>
  <c r="X11" i="21"/>
  <c r="N11" i="21" s="1"/>
  <c r="U11" i="21" s="1"/>
  <c r="M11" i="21"/>
  <c r="T11" i="21" s="1"/>
  <c r="X26" i="21"/>
  <c r="N26" i="21" s="1"/>
  <c r="U26" i="21" s="1"/>
  <c r="Z26" i="21"/>
  <c r="M26" i="21"/>
  <c r="T26" i="21" s="1"/>
  <c r="M10" i="21"/>
  <c r="T10" i="21" s="1"/>
  <c r="Z10" i="21"/>
  <c r="X10" i="21"/>
  <c r="N10" i="21" s="1"/>
  <c r="U10" i="21" s="1"/>
  <c r="N33" i="19"/>
  <c r="U33" i="19" s="1"/>
  <c r="M28" i="20"/>
  <c r="T28" i="20" s="1"/>
  <c r="X30" i="21"/>
  <c r="N30" i="21" s="1"/>
  <c r="U30" i="21" s="1"/>
  <c r="Z30" i="21"/>
  <c r="M30" i="21"/>
  <c r="T30" i="21" s="1"/>
  <c r="X22" i="21"/>
  <c r="N22" i="21" s="1"/>
  <c r="U22" i="21" s="1"/>
  <c r="Z22" i="21"/>
  <c r="M22" i="21"/>
  <c r="T22" i="21" s="1"/>
  <c r="Z32" i="21"/>
  <c r="M32" i="21"/>
  <c r="T32" i="21" s="1"/>
  <c r="X32" i="21"/>
  <c r="N32" i="21" s="1"/>
  <c r="U32" i="21" s="1"/>
  <c r="M28" i="21"/>
  <c r="Z7" i="21"/>
  <c r="X7" i="21"/>
  <c r="N7" i="21" s="1"/>
  <c r="U7" i="21" s="1"/>
  <c r="M7" i="21"/>
  <c r="T7" i="21" s="1"/>
  <c r="Z15" i="21"/>
  <c r="M15" i="21"/>
  <c r="T15" i="21" s="1"/>
  <c r="X15" i="21"/>
  <c r="N15" i="21" s="1"/>
  <c r="Z20" i="21"/>
  <c r="M20" i="21"/>
  <c r="T20" i="21" s="1"/>
  <c r="X20" i="21"/>
  <c r="N20" i="21" s="1"/>
  <c r="U20" i="21" s="1"/>
  <c r="N33" i="21"/>
  <c r="U33" i="21" s="1"/>
  <c r="M16" i="18"/>
  <c r="T16" i="18" s="1"/>
  <c r="M12" i="18"/>
  <c r="T12" i="18" s="1"/>
  <c r="M8" i="18"/>
  <c r="T8" i="18" s="1"/>
  <c r="X28" i="18"/>
  <c r="N28" i="18" s="1"/>
  <c r="U28" i="18" s="1"/>
  <c r="M7" i="18"/>
  <c r="T7" i="18" s="1"/>
  <c r="Z33" i="19"/>
  <c r="N17" i="18"/>
  <c r="U17" i="18" s="1"/>
  <c r="N9" i="18"/>
  <c r="U9" i="18" s="1"/>
  <c r="M28" i="19"/>
  <c r="T28" i="19" s="1"/>
  <c r="Z27" i="21"/>
  <c r="X27" i="21"/>
  <c r="N27" i="21" s="1"/>
  <c r="U27" i="21" s="1"/>
  <c r="M27" i="21"/>
  <c r="T27" i="21" s="1"/>
  <c r="M8" i="21"/>
  <c r="T8" i="21" s="1"/>
  <c r="Z8" i="21"/>
  <c r="X8" i="21"/>
  <c r="N8" i="21" s="1"/>
  <c r="Z23" i="21"/>
  <c r="M23" i="21"/>
  <c r="T23" i="21" s="1"/>
  <c r="X23" i="21"/>
  <c r="N23" i="21" s="1"/>
  <c r="T17" i="21"/>
  <c r="M6" i="21"/>
  <c r="T6" i="21" s="1"/>
  <c r="Z6" i="21"/>
  <c r="X6" i="21"/>
  <c r="N6" i="21" s="1"/>
  <c r="U6" i="21" s="1"/>
  <c r="Z31" i="21"/>
  <c r="M31" i="21"/>
  <c r="T31" i="21" s="1"/>
  <c r="X31" i="21"/>
  <c r="N31" i="21" s="1"/>
  <c r="Z4" i="21"/>
  <c r="M4" i="21"/>
  <c r="T4" i="21" s="1"/>
  <c r="X4" i="21"/>
  <c r="N4" i="21" s="1"/>
  <c r="U4" i="21" s="1"/>
  <c r="Z27" i="20"/>
  <c r="M27" i="20"/>
  <c r="T27" i="20" s="1"/>
  <c r="X27" i="20"/>
  <c r="N27" i="20" s="1"/>
  <c r="U27" i="20" s="1"/>
  <c r="Z14" i="20"/>
  <c r="M14" i="20"/>
  <c r="T14" i="20" s="1"/>
  <c r="X14" i="20"/>
  <c r="N14" i="20" s="1"/>
  <c r="M12" i="20"/>
  <c r="T12" i="20" s="1"/>
  <c r="X12" i="20"/>
  <c r="N12" i="20" s="1"/>
  <c r="Z12" i="20"/>
  <c r="X10" i="20"/>
  <c r="N10" i="20" s="1"/>
  <c r="U10" i="20" s="1"/>
  <c r="M10" i="20"/>
  <c r="T10" i="20" s="1"/>
  <c r="Z10" i="20"/>
  <c r="X6" i="20"/>
  <c r="N6" i="20" s="1"/>
  <c r="U6" i="20" s="1"/>
  <c r="Z6" i="20"/>
  <c r="M6" i="20"/>
  <c r="T6" i="20" s="1"/>
  <c r="Z18" i="20"/>
  <c r="M18" i="20"/>
  <c r="T18" i="20" s="1"/>
  <c r="X18" i="20"/>
  <c r="N18" i="20" s="1"/>
  <c r="U18" i="20" s="1"/>
  <c r="X3" i="19"/>
  <c r="N3" i="19" s="1"/>
  <c r="U3" i="19" s="1"/>
  <c r="Z3" i="19"/>
  <c r="M3" i="19"/>
  <c r="X26" i="20"/>
  <c r="N26" i="20" s="1"/>
  <c r="U26" i="20" s="1"/>
  <c r="Z26" i="20"/>
  <c r="M26" i="20"/>
  <c r="T26" i="20" s="1"/>
  <c r="M8" i="20"/>
  <c r="T8" i="20" s="1"/>
  <c r="X8" i="20"/>
  <c r="N8" i="20" s="1"/>
  <c r="U8" i="20" s="1"/>
  <c r="Z8" i="20"/>
  <c r="X16" i="18"/>
  <c r="N16" i="18" s="1"/>
  <c r="U16" i="18" s="1"/>
  <c r="N33" i="18"/>
  <c r="U33" i="18" s="1"/>
  <c r="M33" i="18"/>
  <c r="T33" i="18" s="1"/>
  <c r="Z33" i="18"/>
  <c r="X20" i="19"/>
  <c r="N20" i="19" s="1"/>
  <c r="U20" i="19" s="1"/>
  <c r="X30" i="20"/>
  <c r="N30" i="20" s="1"/>
  <c r="U30" i="20" s="1"/>
  <c r="Z30" i="20"/>
  <c r="M30" i="20"/>
  <c r="T30" i="20" s="1"/>
  <c r="X22" i="20"/>
  <c r="N22" i="20" s="1"/>
  <c r="U22" i="20" s="1"/>
  <c r="Z22" i="20"/>
  <c r="M22" i="20"/>
  <c r="T22" i="20" s="1"/>
  <c r="Z23" i="20"/>
  <c r="M23" i="20"/>
  <c r="T23" i="20" s="1"/>
  <c r="X23" i="20"/>
  <c r="N23" i="20" s="1"/>
  <c r="X21" i="19"/>
  <c r="N21" i="19" s="1"/>
  <c r="U21" i="19" s="1"/>
  <c r="M21" i="19"/>
  <c r="Z21" i="19"/>
  <c r="Z31" i="20"/>
  <c r="M31" i="20"/>
  <c r="T31" i="20" s="1"/>
  <c r="X31" i="20"/>
  <c r="N31" i="20" s="1"/>
  <c r="U31" i="20" s="1"/>
  <c r="M5" i="20"/>
  <c r="T5" i="20" s="1"/>
  <c r="Z5" i="20"/>
  <c r="X5" i="20"/>
  <c r="N5" i="20" s="1"/>
  <c r="U5" i="20" s="1"/>
  <c r="Z20" i="19"/>
  <c r="M21" i="18"/>
  <c r="X17" i="19"/>
  <c r="N17" i="19" s="1"/>
  <c r="U17" i="19" s="1"/>
  <c r="Z17" i="19"/>
  <c r="M17" i="19"/>
  <c r="X29" i="19"/>
  <c r="N29" i="19" s="1"/>
  <c r="U29" i="19" s="1"/>
  <c r="Z29" i="19"/>
  <c r="M29" i="19"/>
  <c r="Z15" i="20"/>
  <c r="M15" i="20"/>
  <c r="T15" i="20" s="1"/>
  <c r="X15" i="20"/>
  <c r="N15" i="20" s="1"/>
  <c r="Z7" i="19"/>
  <c r="X7" i="19"/>
  <c r="N7" i="19" s="1"/>
  <c r="U7" i="19" s="1"/>
  <c r="M7" i="19"/>
  <c r="T7" i="19" s="1"/>
  <c r="Z20" i="18"/>
  <c r="X26" i="19"/>
  <c r="N26" i="19" s="1"/>
  <c r="U26" i="19" s="1"/>
  <c r="Z26" i="19"/>
  <c r="M26" i="19"/>
  <c r="T26" i="19" s="1"/>
  <c r="Z27" i="19"/>
  <c r="M27" i="19"/>
  <c r="T27" i="19" s="1"/>
  <c r="X27" i="19"/>
  <c r="N27" i="19" s="1"/>
  <c r="U27" i="19" s="1"/>
  <c r="M8" i="19"/>
  <c r="T8" i="19" s="1"/>
  <c r="Z8" i="19"/>
  <c r="X8" i="19"/>
  <c r="N8" i="19" s="1"/>
  <c r="U8" i="19" s="1"/>
  <c r="Z23" i="19"/>
  <c r="M23" i="19"/>
  <c r="T23" i="19" s="1"/>
  <c r="X23" i="19"/>
  <c r="N23" i="19" s="1"/>
  <c r="T16" i="19"/>
  <c r="M5" i="18"/>
  <c r="Z5" i="18"/>
  <c r="Z18" i="19"/>
  <c r="X18" i="19"/>
  <c r="N18" i="19" s="1"/>
  <c r="U18" i="19" s="1"/>
  <c r="M18" i="19"/>
  <c r="T18" i="19" s="1"/>
  <c r="Z4" i="19"/>
  <c r="M4" i="19"/>
  <c r="T4" i="19" s="1"/>
  <c r="X4" i="19"/>
  <c r="N4" i="19" s="1"/>
  <c r="N8" i="18"/>
  <c r="U8" i="18" s="1"/>
  <c r="M12" i="19"/>
  <c r="T12" i="19" s="1"/>
  <c r="X12" i="19"/>
  <c r="N12" i="19" s="1"/>
  <c r="U12" i="19" s="1"/>
  <c r="Z12" i="19"/>
  <c r="M6" i="19"/>
  <c r="T6" i="19" s="1"/>
  <c r="Z6" i="19"/>
  <c r="X6" i="19"/>
  <c r="N6" i="19" s="1"/>
  <c r="U6" i="19" s="1"/>
  <c r="Z31" i="19"/>
  <c r="M31" i="19"/>
  <c r="T31" i="19" s="1"/>
  <c r="X31" i="19"/>
  <c r="N31" i="19" s="1"/>
  <c r="U31" i="19" s="1"/>
  <c r="Z15" i="19"/>
  <c r="X15" i="19"/>
  <c r="N15" i="19" s="1"/>
  <c r="M15" i="19"/>
  <c r="T15" i="19" s="1"/>
  <c r="M20" i="18"/>
  <c r="T20" i="18" s="1"/>
  <c r="X30" i="19"/>
  <c r="N30" i="19" s="1"/>
  <c r="Z30" i="19"/>
  <c r="M30" i="19"/>
  <c r="T30" i="19" s="1"/>
  <c r="X22" i="19"/>
  <c r="N22" i="19" s="1"/>
  <c r="U22" i="19" s="1"/>
  <c r="Z22" i="19"/>
  <c r="M22" i="19"/>
  <c r="T22" i="19" s="1"/>
  <c r="M14" i="19"/>
  <c r="T14" i="19" s="1"/>
  <c r="Z14" i="19"/>
  <c r="X14" i="19"/>
  <c r="N14" i="19" s="1"/>
  <c r="U14" i="19" s="1"/>
  <c r="M10" i="19"/>
  <c r="T10" i="19" s="1"/>
  <c r="Z10" i="19"/>
  <c r="X10" i="19"/>
  <c r="N10" i="19" s="1"/>
  <c r="U10" i="19" s="1"/>
  <c r="Z11" i="19"/>
  <c r="X11" i="19"/>
  <c r="N11" i="19" s="1"/>
  <c r="U11" i="19" s="1"/>
  <c r="M11" i="19"/>
  <c r="T11" i="19" s="1"/>
  <c r="M19" i="18"/>
  <c r="X30" i="18"/>
  <c r="N30" i="18" s="1"/>
  <c r="U30" i="18" s="1"/>
  <c r="Z30" i="18"/>
  <c r="M30" i="18"/>
  <c r="T30" i="18" s="1"/>
  <c r="Z14" i="18"/>
  <c r="M14" i="18"/>
  <c r="T14" i="18" s="1"/>
  <c r="X14" i="18"/>
  <c r="N14" i="18" s="1"/>
  <c r="U14" i="18" s="1"/>
  <c r="Z10" i="18"/>
  <c r="X10" i="18"/>
  <c r="N10" i="18" s="1"/>
  <c r="U10" i="18" s="1"/>
  <c r="M10" i="18"/>
  <c r="T10" i="18" s="1"/>
  <c r="Z32" i="18"/>
  <c r="M32" i="18"/>
  <c r="T32" i="18" s="1"/>
  <c r="X32" i="18"/>
  <c r="N32" i="18" s="1"/>
  <c r="M28" i="18"/>
  <c r="Z11" i="18"/>
  <c r="X11" i="18"/>
  <c r="N11" i="18" s="1"/>
  <c r="M11" i="18"/>
  <c r="T11" i="18" s="1"/>
  <c r="Z27" i="18"/>
  <c r="X27" i="18"/>
  <c r="N27" i="18" s="1"/>
  <c r="U27" i="18" s="1"/>
  <c r="M27" i="18"/>
  <c r="T27" i="18" s="1"/>
  <c r="Z6" i="18"/>
  <c r="X6" i="18"/>
  <c r="N6" i="18" s="1"/>
  <c r="U6" i="18" s="1"/>
  <c r="M6" i="18"/>
  <c r="T6" i="18" s="1"/>
  <c r="T17" i="18"/>
  <c r="X22" i="18"/>
  <c r="N22" i="18" s="1"/>
  <c r="U22" i="18" s="1"/>
  <c r="Z22" i="18"/>
  <c r="M22" i="18"/>
  <c r="T22" i="18" s="1"/>
  <c r="Z18" i="18"/>
  <c r="X18" i="18"/>
  <c r="N18" i="18" s="1"/>
  <c r="U18" i="18" s="1"/>
  <c r="M18" i="18"/>
  <c r="T18" i="18" s="1"/>
  <c r="Z23" i="18"/>
  <c r="M23" i="18"/>
  <c r="T23" i="18" s="1"/>
  <c r="X23" i="18"/>
  <c r="N23" i="18" s="1"/>
  <c r="X26" i="18"/>
  <c r="N26" i="18" s="1"/>
  <c r="U26" i="18" s="1"/>
  <c r="Z26" i="18"/>
  <c r="M26" i="18"/>
  <c r="T26" i="18" s="1"/>
  <c r="Z3" i="18"/>
  <c r="M3" i="18"/>
  <c r="T3" i="18" s="1"/>
  <c r="X3" i="18"/>
  <c r="N3" i="18" s="1"/>
  <c r="U3" i="18" s="1"/>
  <c r="N20" i="18"/>
  <c r="U20" i="18" s="1"/>
  <c r="Z15" i="18"/>
  <c r="X15" i="18"/>
  <c r="N15" i="18" s="1"/>
  <c r="U15" i="18" s="1"/>
  <c r="M15" i="18"/>
  <c r="T15" i="18" s="1"/>
  <c r="T9" i="18"/>
  <c r="Z31" i="18"/>
  <c r="M31" i="18"/>
  <c r="T31" i="18" s="1"/>
  <c r="X31" i="18"/>
  <c r="N31" i="18" s="1"/>
  <c r="U31" i="18" s="1"/>
  <c r="C33" i="4"/>
  <c r="C32" i="4"/>
  <c r="C31" i="4"/>
  <c r="AA31" i="4" s="1"/>
  <c r="C30" i="4"/>
  <c r="Y30" i="4" s="1"/>
  <c r="C29" i="4"/>
  <c r="Y29" i="4" s="1"/>
  <c r="C28" i="4"/>
  <c r="C27" i="4"/>
  <c r="AA27" i="4" s="1"/>
  <c r="C26" i="4"/>
  <c r="AA26" i="4" s="1"/>
  <c r="C25" i="4"/>
  <c r="Y25" i="4" s="1"/>
  <c r="C24" i="4"/>
  <c r="Y24" i="4" s="1"/>
  <c r="C23" i="4"/>
  <c r="AA23" i="4" s="1"/>
  <c r="C22" i="4"/>
  <c r="C21" i="4"/>
  <c r="C20" i="4"/>
  <c r="Y20" i="4" s="1"/>
  <c r="C19" i="4"/>
  <c r="AA19" i="4" s="1"/>
  <c r="C18" i="4"/>
  <c r="AA18" i="4" s="1"/>
  <c r="C17" i="4"/>
  <c r="Y17" i="4" s="1"/>
  <c r="C16" i="4"/>
  <c r="C15" i="4"/>
  <c r="AA15" i="4" s="1"/>
  <c r="C14" i="4"/>
  <c r="AA14" i="4" s="1"/>
  <c r="C13" i="4"/>
  <c r="Y13" i="4" s="1"/>
  <c r="C12" i="4"/>
  <c r="W12" i="4" s="1"/>
  <c r="C11" i="4"/>
  <c r="Y11" i="4" s="1"/>
  <c r="C10" i="4"/>
  <c r="Y10" i="4" s="1"/>
  <c r="C9" i="4"/>
  <c r="AA9" i="4" s="1"/>
  <c r="C8" i="4"/>
  <c r="AA8" i="4" s="1"/>
  <c r="C7" i="4"/>
  <c r="AA7" i="4" s="1"/>
  <c r="C6" i="4"/>
  <c r="AA6" i="4" s="1"/>
  <c r="C5" i="4"/>
  <c r="AA5" i="4" s="1"/>
  <c r="C4" i="4"/>
  <c r="AA4" i="4" s="1"/>
  <c r="C3" i="4"/>
  <c r="AA3" i="4" s="1"/>
  <c r="O17" i="28" l="1"/>
  <c r="V17" i="28" s="1"/>
  <c r="O9" i="28"/>
  <c r="V9" i="28" s="1"/>
  <c r="O33" i="28"/>
  <c r="V33" i="28" s="1"/>
  <c r="O21" i="28"/>
  <c r="V21" i="28" s="1"/>
  <c r="O28" i="28"/>
  <c r="V28" i="28" s="1"/>
  <c r="O4" i="28"/>
  <c r="V4" i="28" s="1"/>
  <c r="O24" i="28"/>
  <c r="V24" i="28" s="1"/>
  <c r="O16" i="28"/>
  <c r="V16" i="28" s="1"/>
  <c r="O25" i="28"/>
  <c r="V25" i="28" s="1"/>
  <c r="O32" i="28"/>
  <c r="V32" i="28" s="1"/>
  <c r="O3" i="28"/>
  <c r="V3" i="28" s="1"/>
  <c r="T29" i="28"/>
  <c r="O29" i="28"/>
  <c r="V29" i="28" s="1"/>
  <c r="O20" i="28"/>
  <c r="V20" i="28" s="1"/>
  <c r="O11" i="28"/>
  <c r="V11" i="28" s="1"/>
  <c r="O13" i="28"/>
  <c r="V13" i="28" s="1"/>
  <c r="U31" i="28"/>
  <c r="O31" i="28"/>
  <c r="V31" i="28" s="1"/>
  <c r="U22" i="28"/>
  <c r="O22" i="28"/>
  <c r="V22" i="28" s="1"/>
  <c r="U8" i="28"/>
  <c r="O8" i="28"/>
  <c r="V8" i="28" s="1"/>
  <c r="T7" i="28"/>
  <c r="O7" i="28"/>
  <c r="V7" i="28" s="1"/>
  <c r="O6" i="28"/>
  <c r="V6" i="28" s="1"/>
  <c r="T15" i="28"/>
  <c r="O15" i="28"/>
  <c r="V15" i="28" s="1"/>
  <c r="O18" i="28"/>
  <c r="V18" i="28" s="1"/>
  <c r="O23" i="28"/>
  <c r="V23" i="28" s="1"/>
  <c r="O27" i="28"/>
  <c r="V27" i="28" s="1"/>
  <c r="O30" i="28"/>
  <c r="V30" i="28" s="1"/>
  <c r="O10" i="28"/>
  <c r="V10" i="28" s="1"/>
  <c r="O5" i="28"/>
  <c r="V5" i="28" s="1"/>
  <c r="O14" i="28"/>
  <c r="V14" i="28" s="1"/>
  <c r="O12" i="28"/>
  <c r="V12" i="28" s="1"/>
  <c r="O19" i="28"/>
  <c r="V19" i="28" s="1"/>
  <c r="O26" i="28"/>
  <c r="V26" i="28" s="1"/>
  <c r="O17" i="27"/>
  <c r="V17" i="27" s="1"/>
  <c r="O3" i="27"/>
  <c r="V3" i="27" s="1"/>
  <c r="O16" i="26"/>
  <c r="V16" i="26" s="1"/>
  <c r="O29" i="22"/>
  <c r="V29" i="22" s="1"/>
  <c r="T17" i="27"/>
  <c r="T3" i="27"/>
  <c r="O13" i="26"/>
  <c r="V13" i="26" s="1"/>
  <c r="O32" i="27"/>
  <c r="V32" i="27" s="1"/>
  <c r="O5" i="27"/>
  <c r="V5" i="27" s="1"/>
  <c r="O19" i="27"/>
  <c r="V19" i="27" s="1"/>
  <c r="T32" i="27"/>
  <c r="O4" i="27"/>
  <c r="V4" i="27" s="1"/>
  <c r="O25" i="27"/>
  <c r="V25" i="27" s="1"/>
  <c r="O9" i="27"/>
  <c r="V9" i="27" s="1"/>
  <c r="O20" i="27"/>
  <c r="V20" i="27" s="1"/>
  <c r="O28" i="26"/>
  <c r="V28" i="26" s="1"/>
  <c r="O24" i="27"/>
  <c r="V24" i="27" s="1"/>
  <c r="O16" i="27"/>
  <c r="V16" i="27" s="1"/>
  <c r="O9" i="19"/>
  <c r="V9" i="19" s="1"/>
  <c r="O12" i="27"/>
  <c r="V12" i="27" s="1"/>
  <c r="O5" i="24"/>
  <c r="V5" i="24" s="1"/>
  <c r="O28" i="27"/>
  <c r="V28" i="27" s="1"/>
  <c r="O17" i="26"/>
  <c r="V17" i="26" s="1"/>
  <c r="O29" i="23"/>
  <c r="V29" i="23" s="1"/>
  <c r="O33" i="26"/>
  <c r="V33" i="26" s="1"/>
  <c r="O25" i="26"/>
  <c r="V25" i="26" s="1"/>
  <c r="O20" i="26"/>
  <c r="V20" i="26" s="1"/>
  <c r="O33" i="27"/>
  <c r="V33" i="27" s="1"/>
  <c r="T21" i="27"/>
  <c r="O21" i="27"/>
  <c r="V21" i="27" s="1"/>
  <c r="T29" i="27"/>
  <c r="O29" i="27"/>
  <c r="V29" i="27" s="1"/>
  <c r="O24" i="26"/>
  <c r="V24" i="26" s="1"/>
  <c r="O13" i="27"/>
  <c r="V13" i="27" s="1"/>
  <c r="O17" i="23"/>
  <c r="V17" i="23" s="1"/>
  <c r="O19" i="26"/>
  <c r="V19" i="26" s="1"/>
  <c r="U8" i="27"/>
  <c r="O8" i="27"/>
  <c r="V8" i="27" s="1"/>
  <c r="U26" i="27"/>
  <c r="O26" i="27"/>
  <c r="V26" i="27" s="1"/>
  <c r="U21" i="26"/>
  <c r="O21" i="26"/>
  <c r="V21" i="26" s="1"/>
  <c r="U27" i="26"/>
  <c r="O27" i="26"/>
  <c r="V27" i="26" s="1"/>
  <c r="U30" i="26"/>
  <c r="O30" i="26"/>
  <c r="V30" i="26" s="1"/>
  <c r="U30" i="27"/>
  <c r="O30" i="27"/>
  <c r="V30" i="27" s="1"/>
  <c r="O15" i="27"/>
  <c r="V15" i="27" s="1"/>
  <c r="U9" i="26"/>
  <c r="O9" i="26"/>
  <c r="V9" i="26" s="1"/>
  <c r="T11" i="27"/>
  <c r="O11" i="27"/>
  <c r="V11" i="27" s="1"/>
  <c r="O10" i="27"/>
  <c r="V10" i="27" s="1"/>
  <c r="O5" i="26"/>
  <c r="V5" i="26" s="1"/>
  <c r="O31" i="27"/>
  <c r="V31" i="27" s="1"/>
  <c r="O18" i="27"/>
  <c r="V18" i="27" s="1"/>
  <c r="O23" i="27"/>
  <c r="V23" i="27" s="1"/>
  <c r="O27" i="27"/>
  <c r="V27" i="27" s="1"/>
  <c r="O14" i="27"/>
  <c r="V14" i="27" s="1"/>
  <c r="O6" i="27"/>
  <c r="V6" i="27" s="1"/>
  <c r="T7" i="27"/>
  <c r="O7" i="27"/>
  <c r="V7" i="27" s="1"/>
  <c r="O22" i="27"/>
  <c r="V22" i="27" s="1"/>
  <c r="O32" i="26"/>
  <c r="V32" i="26" s="1"/>
  <c r="O3" i="26"/>
  <c r="V3" i="26" s="1"/>
  <c r="U29" i="25"/>
  <c r="O29" i="26"/>
  <c r="V29" i="26" s="1"/>
  <c r="U12" i="26"/>
  <c r="O12" i="26"/>
  <c r="V12" i="26" s="1"/>
  <c r="U18" i="26"/>
  <c r="O18" i="26"/>
  <c r="V18" i="26" s="1"/>
  <c r="U23" i="26"/>
  <c r="O23" i="26"/>
  <c r="V23" i="26" s="1"/>
  <c r="O11" i="26"/>
  <c r="V11" i="26" s="1"/>
  <c r="O4" i="26"/>
  <c r="V4" i="26" s="1"/>
  <c r="O7" i="26"/>
  <c r="V7" i="26" s="1"/>
  <c r="T15" i="26"/>
  <c r="M35" i="26" s="1"/>
  <c r="O15" i="26"/>
  <c r="V15" i="26" s="1"/>
  <c r="O31" i="26"/>
  <c r="V31" i="26" s="1"/>
  <c r="O10" i="26"/>
  <c r="V10" i="26" s="1"/>
  <c r="O8" i="26"/>
  <c r="V8" i="26" s="1"/>
  <c r="O26" i="26"/>
  <c r="V26" i="26" s="1"/>
  <c r="O4" i="23"/>
  <c r="V4" i="23" s="1"/>
  <c r="O6" i="26"/>
  <c r="V6" i="26" s="1"/>
  <c r="O14" i="26"/>
  <c r="V14" i="26" s="1"/>
  <c r="O22" i="26"/>
  <c r="V22" i="26" s="1"/>
  <c r="O32" i="22"/>
  <c r="V32" i="22" s="1"/>
  <c r="O13" i="24"/>
  <c r="V13" i="24" s="1"/>
  <c r="O25" i="25"/>
  <c r="V25" i="25" s="1"/>
  <c r="T4" i="23"/>
  <c r="O16" i="23"/>
  <c r="V16" i="23" s="1"/>
  <c r="O15" i="22"/>
  <c r="V15" i="22" s="1"/>
  <c r="O28" i="23"/>
  <c r="V28" i="23" s="1"/>
  <c r="O3" i="24"/>
  <c r="V3" i="24" s="1"/>
  <c r="O24" i="24"/>
  <c r="V24" i="24" s="1"/>
  <c r="U32" i="25"/>
  <c r="O32" i="25"/>
  <c r="V32" i="25" s="1"/>
  <c r="O7" i="25"/>
  <c r="V7" i="25" s="1"/>
  <c r="U11" i="20"/>
  <c r="O24" i="22"/>
  <c r="V24" i="22" s="1"/>
  <c r="O33" i="24"/>
  <c r="V33" i="24" s="1"/>
  <c r="O21" i="25"/>
  <c r="V21" i="25" s="1"/>
  <c r="O17" i="24"/>
  <c r="V17" i="24" s="1"/>
  <c r="O28" i="22"/>
  <c r="V28" i="22" s="1"/>
  <c r="O16" i="22"/>
  <c r="V16" i="22" s="1"/>
  <c r="O9" i="25"/>
  <c r="V9" i="25" s="1"/>
  <c r="O33" i="23"/>
  <c r="V33" i="23" s="1"/>
  <c r="O20" i="24"/>
  <c r="V20" i="24" s="1"/>
  <c r="O18" i="25"/>
  <c r="V18" i="25" s="1"/>
  <c r="O11" i="25"/>
  <c r="V11" i="25" s="1"/>
  <c r="O3" i="20"/>
  <c r="V3" i="20" s="1"/>
  <c r="O29" i="24"/>
  <c r="V29" i="24" s="1"/>
  <c r="T13" i="25"/>
  <c r="O13" i="25"/>
  <c r="V13" i="25" s="1"/>
  <c r="U25" i="23"/>
  <c r="O25" i="23"/>
  <c r="V25" i="23" s="1"/>
  <c r="O32" i="24"/>
  <c r="V32" i="24" s="1"/>
  <c r="O5" i="25"/>
  <c r="V5" i="25" s="1"/>
  <c r="U9" i="24"/>
  <c r="O9" i="24"/>
  <c r="V9" i="24" s="1"/>
  <c r="O33" i="22"/>
  <c r="V33" i="22" s="1"/>
  <c r="T17" i="25"/>
  <c r="O17" i="25"/>
  <c r="V17" i="25" s="1"/>
  <c r="O3" i="25"/>
  <c r="V3" i="25" s="1"/>
  <c r="U15" i="25"/>
  <c r="O15" i="25"/>
  <c r="V15" i="25" s="1"/>
  <c r="U19" i="25"/>
  <c r="O19" i="25"/>
  <c r="V19" i="25" s="1"/>
  <c r="U12" i="25"/>
  <c r="O12" i="25"/>
  <c r="V12" i="25" s="1"/>
  <c r="U26" i="25"/>
  <c r="O26" i="25"/>
  <c r="V26" i="25" s="1"/>
  <c r="U32" i="23"/>
  <c r="O32" i="23"/>
  <c r="V32" i="23" s="1"/>
  <c r="U10" i="25"/>
  <c r="O10" i="25"/>
  <c r="V10" i="25" s="1"/>
  <c r="T13" i="23"/>
  <c r="O13" i="23"/>
  <c r="V13" i="23" s="1"/>
  <c r="O9" i="22"/>
  <c r="V9" i="22" s="1"/>
  <c r="O11" i="24"/>
  <c r="V11" i="24" s="1"/>
  <c r="O8" i="25"/>
  <c r="V8" i="25" s="1"/>
  <c r="O22" i="25"/>
  <c r="V22" i="25" s="1"/>
  <c r="T25" i="24"/>
  <c r="O25" i="24"/>
  <c r="V25" i="24" s="1"/>
  <c r="O24" i="25"/>
  <c r="V24" i="25" s="1"/>
  <c r="O14" i="25"/>
  <c r="V14" i="25" s="1"/>
  <c r="O19" i="22"/>
  <c r="V19" i="22" s="1"/>
  <c r="O19" i="23"/>
  <c r="V19" i="23" s="1"/>
  <c r="O5" i="23"/>
  <c r="V5" i="23" s="1"/>
  <c r="O20" i="23"/>
  <c r="V20" i="23" s="1"/>
  <c r="O28" i="24"/>
  <c r="V28" i="24" s="1"/>
  <c r="O20" i="25"/>
  <c r="V20" i="25" s="1"/>
  <c r="O30" i="25"/>
  <c r="V30" i="25" s="1"/>
  <c r="O27" i="25"/>
  <c r="V27" i="25" s="1"/>
  <c r="O33" i="25"/>
  <c r="V33" i="25" s="1"/>
  <c r="T21" i="24"/>
  <c r="O21" i="24"/>
  <c r="V21" i="24" s="1"/>
  <c r="O4" i="25"/>
  <c r="V4" i="25" s="1"/>
  <c r="O23" i="24"/>
  <c r="V23" i="24" s="1"/>
  <c r="O31" i="25"/>
  <c r="V31" i="25" s="1"/>
  <c r="O16" i="25"/>
  <c r="V16" i="25" s="1"/>
  <c r="T28" i="25"/>
  <c r="O28" i="25"/>
  <c r="V28" i="25" s="1"/>
  <c r="O23" i="25"/>
  <c r="V23" i="25" s="1"/>
  <c r="O6" i="25"/>
  <c r="V6" i="25" s="1"/>
  <c r="U18" i="24"/>
  <c r="O18" i="24"/>
  <c r="V18" i="24" s="1"/>
  <c r="O6" i="24"/>
  <c r="V6" i="24" s="1"/>
  <c r="O13" i="22"/>
  <c r="V13" i="22" s="1"/>
  <c r="O3" i="22"/>
  <c r="V3" i="22" s="1"/>
  <c r="T16" i="24"/>
  <c r="O16" i="24"/>
  <c r="V16" i="24" s="1"/>
  <c r="O12" i="24"/>
  <c r="V12" i="24" s="1"/>
  <c r="O31" i="24"/>
  <c r="V31" i="24" s="1"/>
  <c r="T9" i="23"/>
  <c r="O9" i="23"/>
  <c r="V9" i="23" s="1"/>
  <c r="O15" i="24"/>
  <c r="V15" i="24" s="1"/>
  <c r="O21" i="23"/>
  <c r="V21" i="23" s="1"/>
  <c r="T21" i="23"/>
  <c r="O4" i="24"/>
  <c r="V4" i="24" s="1"/>
  <c r="O22" i="24"/>
  <c r="V22" i="24" s="1"/>
  <c r="O4" i="22"/>
  <c r="V4" i="22" s="1"/>
  <c r="O24" i="23"/>
  <c r="V24" i="23" s="1"/>
  <c r="O7" i="23"/>
  <c r="V7" i="23" s="1"/>
  <c r="O27" i="23"/>
  <c r="V27" i="23" s="1"/>
  <c r="O8" i="23"/>
  <c r="V8" i="23" s="1"/>
  <c r="O10" i="24"/>
  <c r="V10" i="24" s="1"/>
  <c r="O27" i="24"/>
  <c r="V27" i="24" s="1"/>
  <c r="O30" i="24"/>
  <c r="V30" i="24" s="1"/>
  <c r="T19" i="24"/>
  <c r="O19" i="24"/>
  <c r="V19" i="24" s="1"/>
  <c r="O8" i="24"/>
  <c r="V8" i="24" s="1"/>
  <c r="O7" i="24"/>
  <c r="V7" i="24" s="1"/>
  <c r="O7" i="22"/>
  <c r="V7" i="22" s="1"/>
  <c r="O14" i="24"/>
  <c r="V14" i="24" s="1"/>
  <c r="O26" i="24"/>
  <c r="V26" i="24" s="1"/>
  <c r="U30" i="23"/>
  <c r="O30" i="23"/>
  <c r="V30" i="23" s="1"/>
  <c r="U18" i="23"/>
  <c r="O18" i="23"/>
  <c r="V18" i="23" s="1"/>
  <c r="O3" i="23"/>
  <c r="V3" i="23" s="1"/>
  <c r="O14" i="23"/>
  <c r="V14" i="23" s="1"/>
  <c r="O6" i="23"/>
  <c r="V6" i="23" s="1"/>
  <c r="O26" i="23"/>
  <c r="V26" i="23" s="1"/>
  <c r="T25" i="22"/>
  <c r="O25" i="22"/>
  <c r="V25" i="22" s="1"/>
  <c r="O11" i="23"/>
  <c r="V11" i="23" s="1"/>
  <c r="O17" i="22"/>
  <c r="V17" i="22" s="1"/>
  <c r="T15" i="23"/>
  <c r="O15" i="23"/>
  <c r="V15" i="23" s="1"/>
  <c r="O16" i="19"/>
  <c r="V16" i="19" s="1"/>
  <c r="O9" i="20"/>
  <c r="V9" i="20" s="1"/>
  <c r="O31" i="23"/>
  <c r="V31" i="23" s="1"/>
  <c r="O21" i="22"/>
  <c r="V21" i="22" s="1"/>
  <c r="O20" i="22"/>
  <c r="V20" i="22" s="1"/>
  <c r="O10" i="23"/>
  <c r="V10" i="23" s="1"/>
  <c r="O22" i="23"/>
  <c r="V22" i="23" s="1"/>
  <c r="T12" i="23"/>
  <c r="O12" i="23"/>
  <c r="V12" i="23" s="1"/>
  <c r="O23" i="23"/>
  <c r="V23" i="23" s="1"/>
  <c r="U23" i="22"/>
  <c r="O23" i="22"/>
  <c r="V23" i="22" s="1"/>
  <c r="U5" i="22"/>
  <c r="O5" i="22"/>
  <c r="V5" i="22" s="1"/>
  <c r="U31" i="22"/>
  <c r="O31" i="22"/>
  <c r="V31" i="22" s="1"/>
  <c r="U12" i="22"/>
  <c r="O12" i="22"/>
  <c r="V12" i="22" s="1"/>
  <c r="U10" i="22"/>
  <c r="O10" i="22"/>
  <c r="V10" i="22" s="1"/>
  <c r="O33" i="20"/>
  <c r="V33" i="20" s="1"/>
  <c r="O6" i="22"/>
  <c r="V6" i="22" s="1"/>
  <c r="O25" i="18"/>
  <c r="V25" i="18" s="1"/>
  <c r="O4" i="20"/>
  <c r="V4" i="20" s="1"/>
  <c r="O22" i="22"/>
  <c r="V22" i="22" s="1"/>
  <c r="O27" i="22"/>
  <c r="V27" i="22" s="1"/>
  <c r="O26" i="22"/>
  <c r="V26" i="22" s="1"/>
  <c r="O8" i="22"/>
  <c r="V8" i="22" s="1"/>
  <c r="O14" i="22"/>
  <c r="V14" i="22" s="1"/>
  <c r="O13" i="18"/>
  <c r="V13" i="18" s="1"/>
  <c r="O30" i="22"/>
  <c r="V30" i="22" s="1"/>
  <c r="O18" i="22"/>
  <c r="V18" i="22" s="1"/>
  <c r="T11" i="22"/>
  <c r="O11" i="22"/>
  <c r="V11" i="22" s="1"/>
  <c r="O32" i="19"/>
  <c r="V32" i="19" s="1"/>
  <c r="O25" i="21"/>
  <c r="V25" i="21" s="1"/>
  <c r="O24" i="19"/>
  <c r="V24" i="19" s="1"/>
  <c r="O4" i="18"/>
  <c r="V4" i="18" s="1"/>
  <c r="O5" i="21"/>
  <c r="V5" i="21" s="1"/>
  <c r="O24" i="20"/>
  <c r="V24" i="20" s="1"/>
  <c r="O16" i="21"/>
  <c r="V16" i="21" s="1"/>
  <c r="O32" i="20"/>
  <c r="V32" i="20" s="1"/>
  <c r="O29" i="21"/>
  <c r="V29" i="21" s="1"/>
  <c r="O16" i="20"/>
  <c r="V16" i="20" s="1"/>
  <c r="O20" i="19"/>
  <c r="V20" i="19" s="1"/>
  <c r="O28" i="19"/>
  <c r="V28" i="19" s="1"/>
  <c r="O19" i="20"/>
  <c r="V19" i="20" s="1"/>
  <c r="O29" i="20"/>
  <c r="V29" i="20" s="1"/>
  <c r="O13" i="20"/>
  <c r="V13" i="20" s="1"/>
  <c r="O25" i="20"/>
  <c r="V25" i="20" s="1"/>
  <c r="O17" i="21"/>
  <c r="V17" i="21" s="1"/>
  <c r="O8" i="18"/>
  <c r="V8" i="18" s="1"/>
  <c r="O7" i="20"/>
  <c r="V7" i="20" s="1"/>
  <c r="O17" i="18"/>
  <c r="V17" i="18" s="1"/>
  <c r="O29" i="18"/>
  <c r="V29" i="18" s="1"/>
  <c r="O9" i="21"/>
  <c r="V9" i="21" s="1"/>
  <c r="O13" i="19"/>
  <c r="V13" i="19" s="1"/>
  <c r="T13" i="21"/>
  <c r="O13" i="21"/>
  <c r="V13" i="21" s="1"/>
  <c r="O33" i="18"/>
  <c r="V33" i="18" s="1"/>
  <c r="O5" i="19"/>
  <c r="V5" i="19" s="1"/>
  <c r="O21" i="21"/>
  <c r="V21" i="21" s="1"/>
  <c r="O20" i="21"/>
  <c r="V20" i="21" s="1"/>
  <c r="O32" i="21"/>
  <c r="V32" i="21" s="1"/>
  <c r="O22" i="21"/>
  <c r="V22" i="21" s="1"/>
  <c r="O3" i="21"/>
  <c r="V3" i="21" s="1"/>
  <c r="O19" i="19"/>
  <c r="V19" i="19" s="1"/>
  <c r="U12" i="21"/>
  <c r="O12" i="21"/>
  <c r="V12" i="21" s="1"/>
  <c r="U25" i="19"/>
  <c r="O25" i="19"/>
  <c r="V25" i="19" s="1"/>
  <c r="U28" i="20"/>
  <c r="O28" i="20"/>
  <c r="V28" i="20" s="1"/>
  <c r="U14" i="20"/>
  <c r="O14" i="20"/>
  <c r="V14" i="20" s="1"/>
  <c r="U31" i="21"/>
  <c r="O31" i="21"/>
  <c r="V31" i="21" s="1"/>
  <c r="U15" i="21"/>
  <c r="O15" i="21"/>
  <c r="V15" i="21" s="1"/>
  <c r="U23" i="21"/>
  <c r="O23" i="21"/>
  <c r="V23" i="21" s="1"/>
  <c r="U8" i="21"/>
  <c r="O8" i="21"/>
  <c r="V8" i="21" s="1"/>
  <c r="U24" i="18"/>
  <c r="O24" i="18"/>
  <c r="V24" i="18" s="1"/>
  <c r="O24" i="21"/>
  <c r="V24" i="21" s="1"/>
  <c r="O9" i="18"/>
  <c r="V9" i="18" s="1"/>
  <c r="O33" i="19"/>
  <c r="V33" i="19" s="1"/>
  <c r="O6" i="21"/>
  <c r="V6" i="21" s="1"/>
  <c r="O27" i="21"/>
  <c r="V27" i="21" s="1"/>
  <c r="O30" i="21"/>
  <c r="V30" i="21" s="1"/>
  <c r="O10" i="21"/>
  <c r="V10" i="21" s="1"/>
  <c r="O26" i="21"/>
  <c r="V26" i="21" s="1"/>
  <c r="O19" i="21"/>
  <c r="V19" i="21" s="1"/>
  <c r="O14" i="21"/>
  <c r="V14" i="21" s="1"/>
  <c r="O18" i="21"/>
  <c r="V18" i="21" s="1"/>
  <c r="O22" i="20"/>
  <c r="V22" i="20" s="1"/>
  <c r="O20" i="20"/>
  <c r="V20" i="20" s="1"/>
  <c r="O7" i="21"/>
  <c r="V7" i="21" s="1"/>
  <c r="O11" i="21"/>
  <c r="V11" i="21" s="1"/>
  <c r="T21" i="20"/>
  <c r="O21" i="20"/>
  <c r="V21" i="20" s="1"/>
  <c r="O12" i="18"/>
  <c r="V12" i="18" s="1"/>
  <c r="O4" i="21"/>
  <c r="V4" i="21" s="1"/>
  <c r="T28" i="21"/>
  <c r="O28" i="21"/>
  <c r="V28" i="21" s="1"/>
  <c r="O17" i="20"/>
  <c r="V17" i="20" s="1"/>
  <c r="T17" i="20"/>
  <c r="O33" i="21"/>
  <c r="V33" i="21" s="1"/>
  <c r="U23" i="20"/>
  <c r="O23" i="20"/>
  <c r="V23" i="20" s="1"/>
  <c r="U12" i="20"/>
  <c r="O12" i="20"/>
  <c r="V12" i="20" s="1"/>
  <c r="U15" i="20"/>
  <c r="O15" i="20"/>
  <c r="V15" i="20" s="1"/>
  <c r="O31" i="20"/>
  <c r="V31" i="20" s="1"/>
  <c r="O30" i="20"/>
  <c r="V30" i="20" s="1"/>
  <c r="O26" i="20"/>
  <c r="V26" i="20" s="1"/>
  <c r="O10" i="20"/>
  <c r="V10" i="20" s="1"/>
  <c r="O27" i="20"/>
  <c r="V27" i="20" s="1"/>
  <c r="T21" i="18"/>
  <c r="O21" i="18"/>
  <c r="V21" i="18" s="1"/>
  <c r="O5" i="20"/>
  <c r="V5" i="20" s="1"/>
  <c r="T29" i="19"/>
  <c r="O29" i="19"/>
  <c r="V29" i="19" s="1"/>
  <c r="O21" i="19"/>
  <c r="V21" i="19" s="1"/>
  <c r="T21" i="19"/>
  <c r="O6" i="20"/>
  <c r="V6" i="20" s="1"/>
  <c r="T17" i="19"/>
  <c r="O17" i="19"/>
  <c r="V17" i="19" s="1"/>
  <c r="O8" i="20"/>
  <c r="V8" i="20" s="1"/>
  <c r="T3" i="19"/>
  <c r="O3" i="19"/>
  <c r="V3" i="19" s="1"/>
  <c r="O18" i="20"/>
  <c r="V18" i="20" s="1"/>
  <c r="U4" i="19"/>
  <c r="O4" i="19"/>
  <c r="V4" i="19" s="1"/>
  <c r="U23" i="19"/>
  <c r="O23" i="19"/>
  <c r="V23" i="19" s="1"/>
  <c r="U30" i="19"/>
  <c r="O30" i="19"/>
  <c r="V30" i="19" s="1"/>
  <c r="U15" i="19"/>
  <c r="O15" i="19"/>
  <c r="V15" i="19" s="1"/>
  <c r="O12" i="19"/>
  <c r="V12" i="19" s="1"/>
  <c r="O18" i="19"/>
  <c r="V18" i="19" s="1"/>
  <c r="O5" i="18"/>
  <c r="V5" i="18" s="1"/>
  <c r="T5" i="18"/>
  <c r="O11" i="19"/>
  <c r="V11" i="19" s="1"/>
  <c r="O10" i="19"/>
  <c r="V10" i="19" s="1"/>
  <c r="O31" i="19"/>
  <c r="V31" i="19" s="1"/>
  <c r="O27" i="19"/>
  <c r="V27" i="19" s="1"/>
  <c r="O26" i="19"/>
  <c r="V26" i="19" s="1"/>
  <c r="O7" i="19"/>
  <c r="V7" i="19" s="1"/>
  <c r="O14" i="19"/>
  <c r="V14" i="19" s="1"/>
  <c r="O22" i="19"/>
  <c r="V22" i="19" s="1"/>
  <c r="O6" i="19"/>
  <c r="V6" i="19" s="1"/>
  <c r="O8" i="19"/>
  <c r="V8" i="19" s="1"/>
  <c r="U23" i="18"/>
  <c r="O23" i="18"/>
  <c r="V23" i="18" s="1"/>
  <c r="U11" i="18"/>
  <c r="O11" i="18"/>
  <c r="V11" i="18" s="1"/>
  <c r="U32" i="18"/>
  <c r="O32" i="18"/>
  <c r="V32" i="18" s="1"/>
  <c r="O3" i="18"/>
  <c r="V3" i="18" s="1"/>
  <c r="O18" i="18"/>
  <c r="V18" i="18" s="1"/>
  <c r="O22" i="18"/>
  <c r="V22" i="18" s="1"/>
  <c r="O16" i="18"/>
  <c r="V16" i="18" s="1"/>
  <c r="O14" i="18"/>
  <c r="V14" i="18" s="1"/>
  <c r="O30" i="18"/>
  <c r="V30" i="18" s="1"/>
  <c r="O27" i="18"/>
  <c r="V27" i="18" s="1"/>
  <c r="O26" i="18"/>
  <c r="V26" i="18" s="1"/>
  <c r="T28" i="18"/>
  <c r="O28" i="18"/>
  <c r="V28" i="18" s="1"/>
  <c r="O7" i="18"/>
  <c r="V7" i="18" s="1"/>
  <c r="O20" i="18"/>
  <c r="V20" i="18" s="1"/>
  <c r="O10" i="18"/>
  <c r="V10" i="18" s="1"/>
  <c r="O31" i="18"/>
  <c r="V31" i="18" s="1"/>
  <c r="O15" i="18"/>
  <c r="V15" i="18" s="1"/>
  <c r="O6" i="18"/>
  <c r="V6" i="18" s="1"/>
  <c r="T19" i="18"/>
  <c r="O19" i="18"/>
  <c r="V19" i="18" s="1"/>
  <c r="W22" i="4"/>
  <c r="X22" i="4" s="1"/>
  <c r="B22" i="4"/>
  <c r="Y21" i="4"/>
  <c r="B21" i="4"/>
  <c r="Y33" i="4"/>
  <c r="Z12" i="4"/>
  <c r="W8" i="4"/>
  <c r="M8" i="4" s="1"/>
  <c r="Y9" i="4"/>
  <c r="Y7" i="4"/>
  <c r="W6" i="4"/>
  <c r="M6" i="4" s="1"/>
  <c r="B3" i="4"/>
  <c r="W26" i="4"/>
  <c r="M26" i="4" s="1"/>
  <c r="B30" i="4"/>
  <c r="Y22" i="4"/>
  <c r="B26" i="4"/>
  <c r="W30" i="4"/>
  <c r="Y4" i="4"/>
  <c r="Y6" i="4"/>
  <c r="Y8" i="4"/>
  <c r="AA10" i="4"/>
  <c r="Y12" i="4"/>
  <c r="W14" i="4"/>
  <c r="M14" i="4" s="1"/>
  <c r="W18" i="4"/>
  <c r="M18" i="4" s="1"/>
  <c r="Y19" i="4"/>
  <c r="AA22" i="4"/>
  <c r="Y14" i="4"/>
  <c r="Y18" i="4"/>
  <c r="B6" i="4"/>
  <c r="B8" i="4"/>
  <c r="W9" i="4"/>
  <c r="M9" i="4" s="1"/>
  <c r="B12" i="4"/>
  <c r="B14" i="4"/>
  <c r="B18" i="4"/>
  <c r="Y23" i="4"/>
  <c r="W3" i="4"/>
  <c r="B10" i="4"/>
  <c r="W10" i="4"/>
  <c r="B13" i="4"/>
  <c r="B17" i="4"/>
  <c r="AA25" i="4"/>
  <c r="Y26" i="4"/>
  <c r="Y27" i="4"/>
  <c r="AA30" i="4"/>
  <c r="Y3" i="4"/>
  <c r="W13" i="4"/>
  <c r="Y15" i="4"/>
  <c r="W17" i="4"/>
  <c r="W21" i="4"/>
  <c r="Y31" i="4"/>
  <c r="W33" i="4"/>
  <c r="X12" i="4"/>
  <c r="Y5" i="4"/>
  <c r="AA12" i="4"/>
  <c r="M12" i="4" s="1"/>
  <c r="AA28" i="4"/>
  <c r="W28" i="4"/>
  <c r="B28" i="4"/>
  <c r="AA29" i="4"/>
  <c r="B4" i="4"/>
  <c r="W4" i="4"/>
  <c r="M4" i="4" s="1"/>
  <c r="B9" i="4"/>
  <c r="AA16" i="4"/>
  <c r="W16" i="4"/>
  <c r="B16" i="4"/>
  <c r="AA17" i="4"/>
  <c r="B25" i="4"/>
  <c r="W25" i="4"/>
  <c r="Y28" i="4"/>
  <c r="AA32" i="4"/>
  <c r="W32" i="4"/>
  <c r="B32" i="4"/>
  <c r="AA33" i="4"/>
  <c r="AA24" i="4"/>
  <c r="W24" i="4"/>
  <c r="B24" i="4"/>
  <c r="B5" i="4"/>
  <c r="W5" i="4"/>
  <c r="M5" i="4" s="1"/>
  <c r="W7" i="4"/>
  <c r="M7" i="4" s="1"/>
  <c r="B7" i="4"/>
  <c r="AA11" i="4"/>
  <c r="W11" i="4"/>
  <c r="B11" i="4"/>
  <c r="AA13" i="4"/>
  <c r="Y16" i="4"/>
  <c r="AA20" i="4"/>
  <c r="W20" i="4"/>
  <c r="B20" i="4"/>
  <c r="AA21" i="4"/>
  <c r="B29" i="4"/>
  <c r="W29" i="4"/>
  <c r="Y32" i="4"/>
  <c r="B15" i="4"/>
  <c r="W15" i="4"/>
  <c r="M15" i="4" s="1"/>
  <c r="B19" i="4"/>
  <c r="W19" i="4"/>
  <c r="M19" i="4" s="1"/>
  <c r="B23" i="4"/>
  <c r="W23" i="4"/>
  <c r="M23" i="4" s="1"/>
  <c r="B27" i="4"/>
  <c r="W27" i="4"/>
  <c r="M27" i="4" s="1"/>
  <c r="B31" i="4"/>
  <c r="W31" i="4"/>
  <c r="M31" i="4" s="1"/>
  <c r="M35" i="28" l="1"/>
  <c r="O35" i="28"/>
  <c r="N35" i="28"/>
  <c r="M35" i="27"/>
  <c r="N35" i="26"/>
  <c r="O35" i="27"/>
  <c r="N35" i="27"/>
  <c r="O35" i="26"/>
  <c r="M35" i="25"/>
  <c r="M35" i="23"/>
  <c r="N35" i="24"/>
  <c r="N35" i="25"/>
  <c r="O35" i="25"/>
  <c r="O35" i="24"/>
  <c r="M35" i="22"/>
  <c r="M35" i="24"/>
  <c r="N35" i="23"/>
  <c r="O35" i="23"/>
  <c r="O35" i="22"/>
  <c r="N35" i="22"/>
  <c r="M35" i="21"/>
  <c r="N35" i="20"/>
  <c r="M35" i="18"/>
  <c r="M35" i="20"/>
  <c r="O35" i="21"/>
  <c r="N35" i="21"/>
  <c r="M35" i="19"/>
  <c r="O35" i="20"/>
  <c r="N35" i="18"/>
  <c r="O35" i="19"/>
  <c r="N35" i="19"/>
  <c r="O35" i="18"/>
  <c r="M29" i="4"/>
  <c r="Z22" i="4"/>
  <c r="N22" i="4"/>
  <c r="M11" i="4"/>
  <c r="T11" i="4" s="1"/>
  <c r="M22" i="4"/>
  <c r="M21" i="4"/>
  <c r="T21" i="4" s="1"/>
  <c r="M25" i="4"/>
  <c r="T25" i="4" s="1"/>
  <c r="M16" i="4"/>
  <c r="T16" i="4" s="1"/>
  <c r="M17" i="4"/>
  <c r="T17" i="4" s="1"/>
  <c r="M20" i="4"/>
  <c r="M24" i="4"/>
  <c r="M32" i="4"/>
  <c r="M33" i="4"/>
  <c r="M30" i="4"/>
  <c r="T30" i="4" s="1"/>
  <c r="M13" i="4"/>
  <c r="M28" i="4"/>
  <c r="M10" i="4"/>
  <c r="T10" i="4" s="1"/>
  <c r="T14" i="4"/>
  <c r="N12" i="4"/>
  <c r="U12" i="4" s="1"/>
  <c r="M3" i="4"/>
  <c r="T3" i="4" s="1"/>
  <c r="T31" i="4"/>
  <c r="T15" i="4"/>
  <c r="T18" i="4"/>
  <c r="T8" i="4"/>
  <c r="T4" i="4"/>
  <c r="T6" i="4"/>
  <c r="T12" i="4"/>
  <c r="T7" i="4"/>
  <c r="T23" i="4"/>
  <c r="T5" i="4"/>
  <c r="T9" i="4"/>
  <c r="T19" i="4"/>
  <c r="T26" i="4"/>
  <c r="Z19" i="4"/>
  <c r="Z10" i="4"/>
  <c r="Z14" i="4"/>
  <c r="Z29" i="4"/>
  <c r="Z33" i="4"/>
  <c r="Z31" i="4"/>
  <c r="Z23" i="4"/>
  <c r="Z15" i="4"/>
  <c r="Z11" i="4"/>
  <c r="Z5" i="4"/>
  <c r="Z13" i="4"/>
  <c r="Z30" i="4"/>
  <c r="Z26" i="4"/>
  <c r="Z25" i="4"/>
  <c r="Z16" i="4"/>
  <c r="Z17" i="4"/>
  <c r="Z6" i="4"/>
  <c r="Z20" i="4"/>
  <c r="Z7" i="4"/>
  <c r="Z24" i="4"/>
  <c r="Z32" i="4"/>
  <c r="Z4" i="4"/>
  <c r="Z28" i="4"/>
  <c r="Z21" i="4"/>
  <c r="Z9" i="4"/>
  <c r="Z18" i="4"/>
  <c r="Z8" i="4"/>
  <c r="Z3" i="4"/>
  <c r="Z27" i="4"/>
  <c r="X17" i="4"/>
  <c r="N17" i="4" s="1"/>
  <c r="X3" i="4"/>
  <c r="X8" i="4"/>
  <c r="N8" i="4" s="1"/>
  <c r="X6" i="4"/>
  <c r="N6" i="4" s="1"/>
  <c r="U6" i="4" s="1"/>
  <c r="X33" i="4"/>
  <c r="N33" i="4" s="1"/>
  <c r="X30" i="4"/>
  <c r="N30" i="4" s="1"/>
  <c r="X18" i="4"/>
  <c r="N18" i="4" s="1"/>
  <c r="X26" i="4"/>
  <c r="N26" i="4" s="1"/>
  <c r="X13" i="4"/>
  <c r="N13" i="4" s="1"/>
  <c r="U13" i="4" s="1"/>
  <c r="X14" i="4"/>
  <c r="N14" i="4" s="1"/>
  <c r="X9" i="4"/>
  <c r="N9" i="4" s="1"/>
  <c r="X21" i="4"/>
  <c r="N21" i="4" s="1"/>
  <c r="X10" i="4"/>
  <c r="N10" i="4" s="1"/>
  <c r="X29" i="4"/>
  <c r="N29" i="4" s="1"/>
  <c r="X20" i="4"/>
  <c r="N20" i="4" s="1"/>
  <c r="X28" i="4"/>
  <c r="N28" i="4" s="1"/>
  <c r="X25" i="4"/>
  <c r="N25" i="4" s="1"/>
  <c r="X16" i="4"/>
  <c r="N16" i="4" s="1"/>
  <c r="X24" i="4"/>
  <c r="N24" i="4" s="1"/>
  <c r="X4" i="4"/>
  <c r="N4" i="4" s="1"/>
  <c r="X32" i="4"/>
  <c r="N32" i="4" s="1"/>
  <c r="X27" i="4"/>
  <c r="N27" i="4" s="1"/>
  <c r="X19" i="4"/>
  <c r="N19" i="4" s="1"/>
  <c r="X11" i="4"/>
  <c r="N11" i="4" s="1"/>
  <c r="X7" i="4"/>
  <c r="N7" i="4" s="1"/>
  <c r="U7" i="4" s="1"/>
  <c r="X31" i="4"/>
  <c r="N31" i="4" s="1"/>
  <c r="X23" i="4"/>
  <c r="N23" i="4" s="1"/>
  <c r="X15" i="4"/>
  <c r="N15" i="4" s="1"/>
  <c r="X5" i="4"/>
  <c r="N5" i="4" s="1"/>
  <c r="N3" i="4" l="1"/>
  <c r="U3" i="4" s="1"/>
  <c r="U5" i="4"/>
  <c r="U4" i="4"/>
  <c r="O17" i="4"/>
  <c r="V17" i="4" s="1"/>
  <c r="U14" i="4"/>
  <c r="O13" i="4"/>
  <c r="V13" i="4" s="1"/>
  <c r="O27" i="4"/>
  <c r="O29" i="4"/>
  <c r="V29" i="4" s="1"/>
  <c r="O11" i="4"/>
  <c r="V11" i="4" s="1"/>
  <c r="O32" i="4"/>
  <c r="V32" i="4" s="1"/>
  <c r="O16" i="4"/>
  <c r="V16" i="4" s="1"/>
  <c r="O4" i="4"/>
  <c r="V4" i="4" s="1"/>
  <c r="U20" i="4"/>
  <c r="O24" i="4"/>
  <c r="O20" i="4"/>
  <c r="V20" i="4" s="1"/>
  <c r="O28" i="4"/>
  <c r="V28" i="4" s="1"/>
  <c r="T32" i="4"/>
  <c r="O10" i="4"/>
  <c r="V10" i="4" s="1"/>
  <c r="O23" i="4"/>
  <c r="V23" i="4" s="1"/>
  <c r="T27" i="4"/>
  <c r="T29" i="4"/>
  <c r="O33" i="4"/>
  <c r="V33" i="4" s="1"/>
  <c r="O7" i="4"/>
  <c r="V7" i="4" s="1"/>
  <c r="T24" i="4"/>
  <c r="T20" i="4"/>
  <c r="T22" i="4"/>
  <c r="O22" i="4"/>
  <c r="V22" i="4" s="1"/>
  <c r="O18" i="4"/>
  <c r="V18" i="4" s="1"/>
  <c r="O15" i="4"/>
  <c r="V15" i="4" s="1"/>
  <c r="O30" i="4"/>
  <c r="V30" i="4" s="1"/>
  <c r="O25" i="4"/>
  <c r="O12" i="4"/>
  <c r="V12" i="4" s="1"/>
  <c r="O21" i="4"/>
  <c r="V21" i="4" s="1"/>
  <c r="O9" i="4"/>
  <c r="V9" i="4" s="1"/>
  <c r="O19" i="4"/>
  <c r="V19" i="4" s="1"/>
  <c r="O14" i="4"/>
  <c r="V14" i="4" s="1"/>
  <c r="O26" i="4"/>
  <c r="V26" i="4" s="1"/>
  <c r="O6" i="4"/>
  <c r="V6" i="4" s="1"/>
  <c r="O5" i="4"/>
  <c r="V5" i="4" s="1"/>
  <c r="O31" i="4"/>
  <c r="V31" i="4" s="1"/>
  <c r="U8" i="4"/>
  <c r="U28" i="4"/>
  <c r="U21" i="4"/>
  <c r="U17" i="4"/>
  <c r="U23" i="4"/>
  <c r="U11" i="4"/>
  <c r="U33" i="4"/>
  <c r="U10" i="4"/>
  <c r="U19" i="4"/>
  <c r="U27" i="4"/>
  <c r="T28" i="4"/>
  <c r="U25" i="4"/>
  <c r="U30" i="4"/>
  <c r="T33" i="4"/>
  <c r="U31" i="4"/>
  <c r="U29" i="4"/>
  <c r="U22" i="4"/>
  <c r="U16" i="4"/>
  <c r="U15" i="4"/>
  <c r="T13" i="4"/>
  <c r="D4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" i="2"/>
  <c r="D3" i="2"/>
  <c r="O3" i="4" l="1"/>
  <c r="V3" i="4" s="1"/>
  <c r="O8" i="4"/>
  <c r="V8" i="4" s="1"/>
  <c r="U9" i="4"/>
  <c r="U18" i="4"/>
  <c r="U24" i="4"/>
  <c r="V27" i="4"/>
  <c r="V24" i="4"/>
  <c r="M35" i="4"/>
  <c r="V25" i="4"/>
  <c r="U26" i="4"/>
  <c r="U32" i="4"/>
  <c r="O35" i="4" l="1"/>
  <c r="N35" i="4"/>
</calcChain>
</file>

<file path=xl/sharedStrings.xml><?xml version="1.0" encoding="utf-8"?>
<sst xmlns="http://schemas.openxmlformats.org/spreadsheetml/2006/main" count="803" uniqueCount="46">
  <si>
    <t xml:space="preserve">Nombre </t>
  </si>
  <si>
    <t>Mañana</t>
  </si>
  <si>
    <t>Tarde</t>
  </si>
  <si>
    <t>9:00</t>
  </si>
  <si>
    <t>14:00</t>
  </si>
  <si>
    <t>15:00</t>
  </si>
  <si>
    <t>18:30</t>
  </si>
  <si>
    <t>NOTAS</t>
  </si>
  <si>
    <t>Confirmada</t>
  </si>
  <si>
    <t>Ordinarias</t>
  </si>
  <si>
    <t>Extra</t>
  </si>
  <si>
    <t>Horas Ordinarias intensiva</t>
  </si>
  <si>
    <t xml:space="preserve">Dias de vacaciones </t>
  </si>
  <si>
    <t>Dias Intensiva</t>
  </si>
  <si>
    <t>Anualidad</t>
  </si>
  <si>
    <t>Confirmar fecha</t>
  </si>
  <si>
    <t>TOTAL</t>
  </si>
  <si>
    <t>intensiva</t>
  </si>
  <si>
    <t>festivo</t>
  </si>
  <si>
    <t>Horas</t>
  </si>
  <si>
    <t>mes</t>
  </si>
  <si>
    <t>Dia de las smana intensivo</t>
  </si>
  <si>
    <t>Entrada mañana</t>
  </si>
  <si>
    <t xml:space="preserve">Salida Mañana </t>
  </si>
  <si>
    <t>Entrada Tarde</t>
  </si>
  <si>
    <t>Horas Totales Ordinarias</t>
  </si>
  <si>
    <t>Horario en jornada Ordinaria.</t>
  </si>
  <si>
    <t>Horario en jornada intensiva</t>
  </si>
  <si>
    <t>Juan Manuel Báez</t>
  </si>
  <si>
    <t xml:space="preserve">Tipo de joranda </t>
  </si>
  <si>
    <t>15:33</t>
  </si>
  <si>
    <t>15:34</t>
  </si>
  <si>
    <t>15:40</t>
  </si>
  <si>
    <t>15:41</t>
  </si>
  <si>
    <t>19:18</t>
  </si>
  <si>
    <t>19:19</t>
  </si>
  <si>
    <t>19:25</t>
  </si>
  <si>
    <t>19:26</t>
  </si>
  <si>
    <t>15:15</t>
  </si>
  <si>
    <t>20:45</t>
  </si>
  <si>
    <t>13:30</t>
  </si>
  <si>
    <t>completa</t>
  </si>
  <si>
    <t>9:30</t>
  </si>
  <si>
    <t>18:45</t>
  </si>
  <si>
    <t>9:15</t>
  </si>
  <si>
    <t>12:15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</si>
</sst>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C0A]dddd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33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20" fontId="0" fillId="0" borderId="0" xfId="0" applyNumberFormat="1"/>
    <xf numFmtId="0" fontId="0" fillId="3" borderId="0" xfId="0" applyFill="1"/>
    <xf numFmtId="0" fontId="1" fillId="3" borderId="0" xfId="0" applyFont="1" applyFill="1"/>
    <xf numFmtId="0" fontId="0" fillId="3" borderId="0" xfId="0" applyFill="1" applyAlignment="1">
      <alignment horizontal="right"/>
    </xf>
    <xf numFmtId="0" fontId="0" fillId="3" borderId="13" xfId="0" applyFill="1" applyBorder="1"/>
    <xf numFmtId="0" fontId="1" fillId="3" borderId="0" xfId="0" applyFont="1" applyFill="1" applyProtection="1"/>
    <xf numFmtId="0" fontId="0" fillId="3" borderId="0" xfId="0" applyFill="1" applyProtection="1"/>
    <xf numFmtId="0" fontId="2" fillId="3" borderId="0" xfId="0" applyFont="1" applyFill="1" applyProtection="1"/>
    <xf numFmtId="0" fontId="1" fillId="3" borderId="0" xfId="0" applyFont="1" applyFill="1" applyAlignment="1" applyProtection="1">
      <alignment horizontal="right"/>
    </xf>
    <xf numFmtId="0" fontId="1" fillId="3" borderId="0" xfId="0" applyFont="1" applyFill="1" applyAlignment="1" applyProtection="1">
      <alignment horizontal="center"/>
    </xf>
    <xf numFmtId="164" fontId="0" fillId="3" borderId="0" xfId="0" applyNumberFormat="1" applyFill="1" applyProtection="1"/>
    <xf numFmtId="14" fontId="0" fillId="3" borderId="0" xfId="0" applyNumberFormat="1" applyFill="1" applyProtection="1"/>
    <xf numFmtId="20" fontId="0" fillId="4" borderId="9" xfId="0" applyNumberFormat="1" applyFill="1" applyBorder="1" applyAlignment="1" applyProtection="1">
      <alignment horizontal="center"/>
    </xf>
    <xf numFmtId="0" fontId="0" fillId="3" borderId="10" xfId="0" applyFill="1" applyBorder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20" fontId="0" fillId="4" borderId="1" xfId="0" applyNumberFormat="1" applyFill="1" applyBorder="1" applyAlignment="1" applyProtection="1">
      <alignment horizontal="center"/>
    </xf>
    <xf numFmtId="20" fontId="0" fillId="3" borderId="8" xfId="0" applyNumberFormat="1" applyFill="1" applyBorder="1" applyAlignment="1" applyProtection="1">
      <alignment horizontal="center"/>
    </xf>
    <xf numFmtId="20" fontId="0" fillId="6" borderId="1" xfId="0" applyNumberFormat="1" applyFill="1" applyBorder="1" applyAlignment="1" applyProtection="1">
      <alignment horizontal="center"/>
    </xf>
    <xf numFmtId="20" fontId="0" fillId="3" borderId="1" xfId="0" applyNumberFormat="1" applyFill="1" applyBorder="1" applyAlignment="1" applyProtection="1">
      <alignment horizontal="center"/>
    </xf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2" fontId="0" fillId="3" borderId="0" xfId="0" applyNumberFormat="1" applyFill="1" applyProtection="1"/>
    <xf numFmtId="0" fontId="0" fillId="3" borderId="0" xfId="0" applyFill="1" applyBorder="1" applyAlignment="1" applyProtection="1">
      <alignment horizontal="center"/>
    </xf>
    <xf numFmtId="20" fontId="0" fillId="3" borderId="0" xfId="0" applyNumberFormat="1" applyFill="1" applyBorder="1" applyAlignment="1" applyProtection="1">
      <alignment horizontal="center"/>
    </xf>
    <xf numFmtId="0" fontId="0" fillId="3" borderId="12" xfId="0" applyFill="1" applyBorder="1" applyAlignment="1" applyProtection="1">
      <alignment horizontal="center"/>
    </xf>
    <xf numFmtId="20" fontId="0" fillId="3" borderId="0" xfId="0" applyNumberFormat="1" applyFill="1" applyProtection="1"/>
    <xf numFmtId="2" fontId="0" fillId="2" borderId="1" xfId="0" applyNumberFormat="1" applyFill="1" applyBorder="1" applyProtection="1"/>
    <xf numFmtId="45" fontId="0" fillId="3" borderId="0" xfId="0" applyNumberFormat="1" applyFill="1" applyProtection="1"/>
    <xf numFmtId="20" fontId="0" fillId="4" borderId="1" xfId="0" applyNumberFormat="1" applyFill="1" applyBorder="1" applyAlignment="1" applyProtection="1">
      <alignment horizontal="center"/>
      <protection locked="0"/>
    </xf>
    <xf numFmtId="0" fontId="0" fillId="4" borderId="1" xfId="0" applyFill="1" applyBorder="1" applyProtection="1">
      <protection locked="0"/>
    </xf>
    <xf numFmtId="20" fontId="0" fillId="4" borderId="9" xfId="0" applyNumberFormat="1" applyFill="1" applyBorder="1" applyAlignment="1" applyProtection="1">
      <alignment horizontal="center"/>
      <protection locked="0"/>
    </xf>
    <xf numFmtId="20" fontId="0" fillId="6" borderId="1" xfId="0" applyNumberFormat="1" applyFill="1" applyBorder="1" applyAlignment="1" applyProtection="1">
      <alignment horizontal="center"/>
      <protection locked="0"/>
    </xf>
    <xf numFmtId="20" fontId="0" fillId="7" borderId="1" xfId="0" applyNumberFormat="1" applyFill="1" applyBorder="1" applyAlignment="1" applyProtection="1">
      <alignment horizontal="right"/>
      <protection locked="0"/>
    </xf>
    <xf numFmtId="0" fontId="0" fillId="5" borderId="1" xfId="0" applyFill="1" applyBorder="1" applyProtection="1"/>
    <xf numFmtId="1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5" xfId="0" applyFill="1" applyBorder="1" applyProtection="1">
      <protection locked="0"/>
    </xf>
    <xf numFmtId="14" fontId="0" fillId="5" borderId="5" xfId="0" applyNumberFormat="1" applyFill="1" applyBorder="1" applyProtection="1">
      <protection locked="0"/>
    </xf>
    <xf numFmtId="0" fontId="0" fillId="9" borderId="1" xfId="0" applyFill="1" applyBorder="1" applyAlignment="1" applyProtection="1">
      <alignment horizontal="right"/>
      <protection locked="0"/>
    </xf>
    <xf numFmtId="0" fontId="0" fillId="5" borderId="1" xfId="0" applyFill="1" applyBorder="1" applyProtection="1">
      <protection locked="0"/>
    </xf>
    <xf numFmtId="20" fontId="0" fillId="5" borderId="1" xfId="0" applyNumberFormat="1" applyFill="1" applyBorder="1" applyProtection="1">
      <protection locked="0"/>
    </xf>
    <xf numFmtId="0" fontId="0" fillId="8" borderId="1" xfId="0" applyFont="1" applyFill="1" applyBorder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right"/>
      <protection locked="0"/>
    </xf>
    <xf numFmtId="14" fontId="0" fillId="5" borderId="4" xfId="0" applyNumberFormat="1" applyFill="1" applyBorder="1" applyProtection="1"/>
    <xf numFmtId="20" fontId="0" fillId="4" borderId="11" xfId="0" applyNumberFormat="1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20" fontId="0" fillId="0" borderId="0" xfId="0" applyNumberFormat="1" applyProtection="1"/>
    <xf numFmtId="0" fontId="0" fillId="0" borderId="0" xfId="0" applyProtection="1"/>
  </cellXfs>
  <cellStyles count="1">
    <cellStyle name="Normal" xfId="0" builtinId="0"/>
  </cellStyles>
  <dxfs count="191"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ill>
        <patternFill>
          <bgColor rgb="FFFB746D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9933"/>
      <color rgb="FFFF0000"/>
      <color rgb="FFFB74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39"/>
  <sheetViews>
    <sheetView showGridLines="0" workbookViewId="0">
      <selection activeCell="K33" sqref="K3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hidden="1" customWidth="1"/>
    <col min="20" max="20" width="6.26953125" style="7" hidden="1" customWidth="1"/>
    <col min="21" max="21" width="7.90625" style="7" hidden="1" customWidth="1"/>
    <col min="22" max="22" width="7.36328125" style="7" hidden="1" customWidth="1"/>
    <col min="23" max="24" width="10.90625" style="7" hidden="1" customWidth="1"/>
    <col min="25" max="25" width="11.1796875" style="7" hidden="1" customWidth="1"/>
    <col min="26" max="27" width="0" style="7" hidden="1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43831</v>
      </c>
      <c r="C3" s="12">
        <f t="shared" ref="C3:C33" ca="1" si="0">DATE(Anualidad,_xlfn.SHEET(B1),A3)</f>
        <v>43831</v>
      </c>
      <c r="D3" s="12"/>
      <c r="E3" s="31">
        <v>0.39583333333333331</v>
      </c>
      <c r="F3" s="14"/>
      <c r="G3" s="31">
        <v>0.58333333333333337</v>
      </c>
      <c r="H3" s="15"/>
      <c r="I3" s="29">
        <v>0.63541666666666663</v>
      </c>
      <c r="J3" s="17"/>
      <c r="K3" s="29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0.3229166666666668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0.3229166666666668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15</v>
      </c>
      <c r="T3" s="22">
        <f ca="1">MINUTE(M3)+(HOUR(M3)*60)</f>
        <v>465</v>
      </c>
      <c r="U3" s="22">
        <f t="shared" ref="U3:V18" ca="1" si="2">MINUTE(N3)+(HOUR(N3)*60)</f>
        <v>465</v>
      </c>
      <c r="V3" s="22">
        <f t="shared" ca="1" si="2"/>
        <v>0</v>
      </c>
      <c r="W3" s="7">
        <f ca="1">WEEKDAY(C3)</f>
        <v>4</v>
      </c>
      <c r="X3" s="19">
        <f t="shared" ref="X3:X33" ca="1" si="3">IF(AND(W3&lt;&gt;7,W3&lt;&gt;1),IF(W3=DiaSemanaIntensiva,HorasIntensiva,HorasOrdinarias),0)</f>
        <v>0.33333333333333331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0</v>
      </c>
      <c r="AA3" s="7">
        <f t="shared" ref="AA3:AA33" ca="1" si="6">MONTH(C3)</f>
        <v>1</v>
      </c>
    </row>
    <row r="4" spans="1:27" ht="15" thickBot="1" x14ac:dyDescent="0.4">
      <c r="A4" s="7">
        <v>2</v>
      </c>
      <c r="B4" s="11">
        <f t="shared" ref="B4:B32" ca="1" si="7">C4</f>
        <v>43832</v>
      </c>
      <c r="C4" s="12">
        <f t="shared" ca="1" si="0"/>
        <v>43832</v>
      </c>
      <c r="E4" s="29">
        <v>0.39583333333333331</v>
      </c>
      <c r="F4" s="23"/>
      <c r="G4" s="29">
        <v>0.58333333333333337</v>
      </c>
      <c r="H4" s="15"/>
      <c r="I4" s="29">
        <v>0.63541666666666663</v>
      </c>
      <c r="J4" s="24"/>
      <c r="K4" s="29">
        <v>0.77083333333333337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0.3229166666666668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0.3229166666666668</v>
      </c>
      <c r="O4" s="19">
        <f t="shared" ca="1" si="1"/>
        <v>0</v>
      </c>
      <c r="P4" s="9"/>
      <c r="Q4" s="30"/>
      <c r="R4" s="21" t="s">
        <v>15</v>
      </c>
      <c r="T4" s="22">
        <f t="shared" ref="T4:V33" ca="1" si="10">MINUTE(M4)+(HOUR(M4)*60)</f>
        <v>465</v>
      </c>
      <c r="U4" s="22">
        <f t="shared" ca="1" si="2"/>
        <v>465</v>
      </c>
      <c r="V4" s="22">
        <f t="shared" ca="1" si="2"/>
        <v>0</v>
      </c>
      <c r="W4" s="7">
        <f t="shared" ref="W4:W33" ca="1" si="11">WEEKDAY(C4)</f>
        <v>5</v>
      </c>
      <c r="X4" s="19">
        <f t="shared" ca="1" si="3"/>
        <v>0.33333333333333331</v>
      </c>
      <c r="Y4" s="7">
        <f t="shared" ca="1" si="4"/>
        <v>0</v>
      </c>
      <c r="Z4" s="7">
        <f t="shared" ca="1" si="5"/>
        <v>0</v>
      </c>
      <c r="AA4" s="7">
        <f t="shared" ca="1" si="6"/>
        <v>1</v>
      </c>
    </row>
    <row r="5" spans="1:27" ht="15" thickBot="1" x14ac:dyDescent="0.4">
      <c r="A5" s="7">
        <v>3</v>
      </c>
      <c r="B5" s="11">
        <f t="shared" ca="1" si="7"/>
        <v>43833</v>
      </c>
      <c r="C5" s="12">
        <f t="shared" ca="1" si="0"/>
        <v>43833</v>
      </c>
      <c r="D5" s="12"/>
      <c r="E5" s="29">
        <v>0.39583333333333331</v>
      </c>
      <c r="F5" s="23"/>
      <c r="G5" s="29">
        <v>0.5625</v>
      </c>
      <c r="H5" s="15"/>
      <c r="I5" s="29">
        <v>0</v>
      </c>
      <c r="J5" s="24"/>
      <c r="K5" s="29">
        <v>0</v>
      </c>
      <c r="L5" s="9"/>
      <c r="M5" s="18">
        <f t="shared" ca="1" si="8"/>
        <v>0.16666666666666669</v>
      </c>
      <c r="N5" s="18">
        <f t="shared" ca="1" si="9"/>
        <v>0.16666666666666669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240</v>
      </c>
      <c r="U5" s="22">
        <f t="shared" ca="1" si="2"/>
        <v>240</v>
      </c>
      <c r="V5" s="22">
        <f t="shared" ca="1" si="2"/>
        <v>0</v>
      </c>
      <c r="W5" s="7">
        <f t="shared" ca="1" si="11"/>
        <v>6</v>
      </c>
      <c r="X5" s="19">
        <f t="shared" ca="1" si="3"/>
        <v>0.25</v>
      </c>
      <c r="Y5" s="7">
        <f t="shared" ca="1" si="4"/>
        <v>0</v>
      </c>
      <c r="Z5" s="7">
        <f t="shared" ca="1" si="5"/>
        <v>0</v>
      </c>
      <c r="AA5" s="7">
        <f t="shared" ca="1" si="6"/>
        <v>1</v>
      </c>
    </row>
    <row r="6" spans="1:27" ht="15" thickBot="1" x14ac:dyDescent="0.4">
      <c r="A6" s="7">
        <v>4</v>
      </c>
      <c r="B6" s="11">
        <f t="shared" ca="1" si="7"/>
        <v>43834</v>
      </c>
      <c r="C6" s="12">
        <f t="shared" ca="1" si="0"/>
        <v>43834</v>
      </c>
      <c r="E6" s="29" t="s">
        <v>3</v>
      </c>
      <c r="F6" s="23"/>
      <c r="G6" s="16" t="s">
        <v>4</v>
      </c>
      <c r="H6" s="15"/>
      <c r="I6" s="16" t="s">
        <v>5</v>
      </c>
      <c r="J6" s="24"/>
      <c r="K6" s="16" t="s">
        <v>6</v>
      </c>
      <c r="L6" s="9"/>
      <c r="M6" s="18">
        <f t="shared" ca="1" si="8"/>
        <v>0</v>
      </c>
      <c r="N6" s="18">
        <f t="shared" ca="1" si="9"/>
        <v>0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0</v>
      </c>
      <c r="U6" s="22">
        <f t="shared" ca="1" si="2"/>
        <v>0</v>
      </c>
      <c r="V6" s="22">
        <f t="shared" ca="1" si="2"/>
        <v>0</v>
      </c>
      <c r="W6" s="7">
        <f t="shared" ca="1" si="11"/>
        <v>7</v>
      </c>
      <c r="X6" s="19">
        <f t="shared" ca="1" si="3"/>
        <v>0</v>
      </c>
      <c r="Y6" s="7">
        <f t="shared" ca="1" si="4"/>
        <v>0</v>
      </c>
      <c r="Z6" s="7">
        <f t="shared" ca="1" si="5"/>
        <v>1</v>
      </c>
      <c r="AA6" s="7">
        <f t="shared" ca="1" si="6"/>
        <v>1</v>
      </c>
    </row>
    <row r="7" spans="1:27" ht="15" thickBot="1" x14ac:dyDescent="0.4">
      <c r="A7" s="7">
        <v>5</v>
      </c>
      <c r="B7" s="11">
        <f t="shared" ca="1" si="7"/>
        <v>43835</v>
      </c>
      <c r="C7" s="12">
        <f t="shared" ca="1" si="0"/>
        <v>43835</v>
      </c>
      <c r="D7" s="12"/>
      <c r="E7" s="16" t="s">
        <v>3</v>
      </c>
      <c r="F7" s="23"/>
      <c r="G7" s="16" t="s">
        <v>4</v>
      </c>
      <c r="H7" s="15"/>
      <c r="I7" s="16" t="s">
        <v>5</v>
      </c>
      <c r="J7" s="24"/>
      <c r="K7" s="16" t="s">
        <v>6</v>
      </c>
      <c r="L7" s="9"/>
      <c r="M7" s="18">
        <f t="shared" ca="1" si="8"/>
        <v>0</v>
      </c>
      <c r="N7" s="18">
        <f t="shared" ca="1" si="9"/>
        <v>0</v>
      </c>
      <c r="O7" s="19">
        <f t="shared" ca="1" si="1"/>
        <v>0</v>
      </c>
      <c r="P7" s="9"/>
      <c r="Q7" s="20"/>
      <c r="R7" s="21" t="s">
        <v>8</v>
      </c>
      <c r="T7" s="22">
        <f t="shared" ca="1" si="10"/>
        <v>0</v>
      </c>
      <c r="U7" s="22">
        <f t="shared" ca="1" si="2"/>
        <v>0</v>
      </c>
      <c r="V7" s="22">
        <f t="shared" ca="1" si="2"/>
        <v>0</v>
      </c>
      <c r="W7" s="7">
        <f t="shared" ca="1" si="11"/>
        <v>1</v>
      </c>
      <c r="X7" s="19">
        <f t="shared" ca="1" si="3"/>
        <v>0</v>
      </c>
      <c r="Y7" s="7">
        <f t="shared" ca="1" si="4"/>
        <v>0</v>
      </c>
      <c r="Z7" s="7">
        <f t="shared" ca="1" si="5"/>
        <v>1</v>
      </c>
      <c r="AA7" s="7">
        <f t="shared" ca="1" si="6"/>
        <v>1</v>
      </c>
    </row>
    <row r="8" spans="1:27" ht="15" thickBot="1" x14ac:dyDescent="0.4">
      <c r="A8" s="7">
        <v>6</v>
      </c>
      <c r="B8" s="11">
        <f t="shared" ca="1" si="7"/>
        <v>43836</v>
      </c>
      <c r="C8" s="12">
        <f t="shared" ca="1" si="0"/>
        <v>43836</v>
      </c>
      <c r="E8" s="29">
        <v>0.39583333333333331</v>
      </c>
      <c r="F8" s="23"/>
      <c r="G8" s="29">
        <v>0.58333333333333337</v>
      </c>
      <c r="H8" s="15"/>
      <c r="I8" s="29">
        <v>0.63541666666666663</v>
      </c>
      <c r="J8" s="24"/>
      <c r="K8" s="29">
        <v>0.77083333333333337</v>
      </c>
      <c r="L8" s="9"/>
      <c r="M8" s="18">
        <f t="shared" ca="1" si="8"/>
        <v>0.3229166666666668</v>
      </c>
      <c r="N8" s="18">
        <f t="shared" ca="1" si="9"/>
        <v>0.3229166666666668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465</v>
      </c>
      <c r="U8" s="22">
        <f t="shared" ca="1" si="2"/>
        <v>465</v>
      </c>
      <c r="V8" s="22">
        <f t="shared" ca="1" si="2"/>
        <v>0</v>
      </c>
      <c r="W8" s="7">
        <f t="shared" ca="1" si="11"/>
        <v>2</v>
      </c>
      <c r="X8" s="19">
        <f t="shared" ca="1" si="3"/>
        <v>0.33333333333333331</v>
      </c>
      <c r="Y8" s="7">
        <f t="shared" ca="1" si="4"/>
        <v>0</v>
      </c>
      <c r="Z8" s="7">
        <f t="shared" ca="1" si="5"/>
        <v>0</v>
      </c>
      <c r="AA8" s="7">
        <f t="shared" ca="1" si="6"/>
        <v>1</v>
      </c>
    </row>
    <row r="9" spans="1:27" ht="15" thickBot="1" x14ac:dyDescent="0.4">
      <c r="A9" s="7">
        <v>7</v>
      </c>
      <c r="B9" s="11">
        <f t="shared" ca="1" si="7"/>
        <v>43837</v>
      </c>
      <c r="C9" s="12">
        <f t="shared" ca="1" si="0"/>
        <v>43837</v>
      </c>
      <c r="D9" s="12"/>
      <c r="E9" s="29">
        <v>0.39583333333333331</v>
      </c>
      <c r="F9" s="23"/>
      <c r="G9" s="29">
        <v>0.58333333333333337</v>
      </c>
      <c r="H9" s="23"/>
      <c r="I9" s="29">
        <v>0.63541666666666663</v>
      </c>
      <c r="J9" s="24"/>
      <c r="K9" s="29">
        <v>0.77083333333333337</v>
      </c>
      <c r="L9" s="9"/>
      <c r="M9" s="18">
        <f t="shared" ca="1" si="8"/>
        <v>0.3229166666666668</v>
      </c>
      <c r="N9" s="18">
        <f t="shared" ca="1" si="9"/>
        <v>0.3229166666666668</v>
      </c>
      <c r="O9" s="19">
        <f t="shared" ca="1" si="1"/>
        <v>0</v>
      </c>
      <c r="P9" s="9"/>
      <c r="Q9" s="30"/>
      <c r="R9" s="21" t="s">
        <v>15</v>
      </c>
      <c r="T9" s="22">
        <f t="shared" ca="1" si="10"/>
        <v>465</v>
      </c>
      <c r="U9" s="22">
        <f t="shared" ca="1" si="2"/>
        <v>465</v>
      </c>
      <c r="V9" s="22">
        <f t="shared" ca="1" si="2"/>
        <v>0</v>
      </c>
      <c r="W9" s="7">
        <f t="shared" ca="1" si="11"/>
        <v>3</v>
      </c>
      <c r="X9" s="19">
        <f t="shared" ca="1" si="3"/>
        <v>0.33333333333333331</v>
      </c>
      <c r="Y9" s="7">
        <f t="shared" ca="1" si="4"/>
        <v>0</v>
      </c>
      <c r="Z9" s="7">
        <f t="shared" ca="1" si="5"/>
        <v>0</v>
      </c>
      <c r="AA9" s="7">
        <f t="shared" ca="1" si="6"/>
        <v>1</v>
      </c>
    </row>
    <row r="10" spans="1:27" ht="15" thickBot="1" x14ac:dyDescent="0.4">
      <c r="A10" s="7">
        <v>8</v>
      </c>
      <c r="B10" s="11">
        <f t="shared" ca="1" si="7"/>
        <v>43838</v>
      </c>
      <c r="C10" s="12">
        <f t="shared" ca="1" si="0"/>
        <v>43838</v>
      </c>
      <c r="E10" s="29">
        <v>0.39583333333333331</v>
      </c>
      <c r="F10" s="23"/>
      <c r="G10" s="29">
        <v>0.58333333333333337</v>
      </c>
      <c r="H10" s="23"/>
      <c r="I10" s="29">
        <v>0.63541666666666663</v>
      </c>
      <c r="J10" s="24"/>
      <c r="K10" s="29">
        <v>0.77083333333333337</v>
      </c>
      <c r="L10" s="9"/>
      <c r="M10" s="18">
        <f t="shared" ca="1" si="8"/>
        <v>0.3229166666666668</v>
      </c>
      <c r="N10" s="18">
        <f t="shared" ca="1" si="9"/>
        <v>0.3229166666666668</v>
      </c>
      <c r="O10" s="19">
        <f t="shared" ca="1" si="1"/>
        <v>0</v>
      </c>
      <c r="P10" s="9"/>
      <c r="Q10" s="20"/>
      <c r="R10" s="21" t="s">
        <v>15</v>
      </c>
      <c r="T10" s="22">
        <f t="shared" ca="1" si="10"/>
        <v>465</v>
      </c>
      <c r="U10" s="22">
        <f t="shared" ca="1" si="2"/>
        <v>465</v>
      </c>
      <c r="V10" s="22">
        <f t="shared" ca="1" si="2"/>
        <v>0</v>
      </c>
      <c r="W10" s="7">
        <f t="shared" ca="1" si="11"/>
        <v>4</v>
      </c>
      <c r="X10" s="19">
        <f t="shared" ca="1" si="3"/>
        <v>0.33333333333333331</v>
      </c>
      <c r="Y10" s="7">
        <f t="shared" ca="1" si="4"/>
        <v>0</v>
      </c>
      <c r="Z10" s="7">
        <f t="shared" ca="1" si="5"/>
        <v>0</v>
      </c>
      <c r="AA10" s="7">
        <f t="shared" ca="1" si="6"/>
        <v>1</v>
      </c>
    </row>
    <row r="11" spans="1:27" ht="15" thickBot="1" x14ac:dyDescent="0.4">
      <c r="A11" s="7">
        <v>9</v>
      </c>
      <c r="B11" s="11">
        <f t="shared" ca="1" si="7"/>
        <v>43839</v>
      </c>
      <c r="C11" s="12">
        <f t="shared" ca="1" si="0"/>
        <v>43839</v>
      </c>
      <c r="D11" s="12"/>
      <c r="E11" s="29">
        <v>0.39583333333333331</v>
      </c>
      <c r="F11" s="23"/>
      <c r="G11" s="29">
        <v>0.58333333333333337</v>
      </c>
      <c r="H11" s="15"/>
      <c r="I11" s="29">
        <v>0.63541666666666663</v>
      </c>
      <c r="J11" s="24"/>
      <c r="K11" s="29">
        <v>0.77083333333333337</v>
      </c>
      <c r="L11" s="9"/>
      <c r="M11" s="18">
        <f t="shared" ca="1" si="8"/>
        <v>0.3229166666666668</v>
      </c>
      <c r="N11" s="18">
        <f t="shared" ca="1" si="9"/>
        <v>0.3229166666666668</v>
      </c>
      <c r="O11" s="19">
        <f t="shared" ca="1" si="1"/>
        <v>0</v>
      </c>
      <c r="P11" s="9"/>
      <c r="Q11" s="30"/>
      <c r="R11" s="21" t="s">
        <v>15</v>
      </c>
      <c r="T11" s="22">
        <f t="shared" ca="1" si="10"/>
        <v>465</v>
      </c>
      <c r="U11" s="22">
        <f t="shared" ca="1" si="2"/>
        <v>465</v>
      </c>
      <c r="V11" s="22">
        <f t="shared" ca="1" si="2"/>
        <v>0</v>
      </c>
      <c r="W11" s="7">
        <f t="shared" ca="1" si="11"/>
        <v>5</v>
      </c>
      <c r="X11" s="19">
        <f t="shared" ca="1" si="3"/>
        <v>0.33333333333333331</v>
      </c>
      <c r="Y11" s="7">
        <f t="shared" ca="1" si="4"/>
        <v>0</v>
      </c>
      <c r="Z11" s="7">
        <f t="shared" ca="1" si="5"/>
        <v>0</v>
      </c>
      <c r="AA11" s="7">
        <f t="shared" ca="1" si="6"/>
        <v>1</v>
      </c>
    </row>
    <row r="12" spans="1:27" ht="15" thickBot="1" x14ac:dyDescent="0.4">
      <c r="A12" s="7">
        <v>10</v>
      </c>
      <c r="B12" s="11">
        <f t="shared" ca="1" si="7"/>
        <v>43840</v>
      </c>
      <c r="C12" s="12">
        <f t="shared" ca="1" si="0"/>
        <v>43840</v>
      </c>
      <c r="E12" s="29">
        <v>0.39583333333333331</v>
      </c>
      <c r="F12" s="23"/>
      <c r="G12" s="29">
        <v>0.5625</v>
      </c>
      <c r="H12" s="15"/>
      <c r="I12" s="29">
        <v>0</v>
      </c>
      <c r="J12" s="24"/>
      <c r="K12" s="29">
        <v>0</v>
      </c>
      <c r="L12" s="9"/>
      <c r="M12" s="18">
        <f t="shared" ca="1" si="8"/>
        <v>0.16666666666666669</v>
      </c>
      <c r="N12" s="18">
        <f t="shared" ca="1" si="9"/>
        <v>0.16666666666666669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240</v>
      </c>
      <c r="U12" s="22">
        <f t="shared" ca="1" si="2"/>
        <v>240</v>
      </c>
      <c r="V12" s="22">
        <f t="shared" ca="1" si="2"/>
        <v>0</v>
      </c>
      <c r="W12" s="7">
        <f t="shared" ca="1" si="11"/>
        <v>6</v>
      </c>
      <c r="X12" s="19">
        <f t="shared" ca="1" si="3"/>
        <v>0.25</v>
      </c>
      <c r="Y12" s="7">
        <f t="shared" ca="1" si="4"/>
        <v>0</v>
      </c>
      <c r="Z12" s="7">
        <f t="shared" ca="1" si="5"/>
        <v>0</v>
      </c>
      <c r="AA12" s="7">
        <f t="shared" ca="1" si="6"/>
        <v>1</v>
      </c>
    </row>
    <row r="13" spans="1:27" ht="15" thickBot="1" x14ac:dyDescent="0.4">
      <c r="A13" s="7">
        <v>11</v>
      </c>
      <c r="B13" s="11">
        <f t="shared" ca="1" si="7"/>
        <v>43841</v>
      </c>
      <c r="C13" s="12">
        <f t="shared" ca="1" si="0"/>
        <v>43841</v>
      </c>
      <c r="D13" s="12"/>
      <c r="E13" s="16" t="s">
        <v>3</v>
      </c>
      <c r="F13" s="23"/>
      <c r="G13" s="16" t="s">
        <v>4</v>
      </c>
      <c r="H13" s="15"/>
      <c r="I13" s="16" t="s">
        <v>5</v>
      </c>
      <c r="J13" s="24"/>
      <c r="K13" s="16" t="s">
        <v>6</v>
      </c>
      <c r="L13" s="9"/>
      <c r="M13" s="18">
        <f t="shared" ca="1" si="8"/>
        <v>0</v>
      </c>
      <c r="N13" s="18">
        <f t="shared" ca="1" si="9"/>
        <v>0</v>
      </c>
      <c r="O13" s="19">
        <f t="shared" ca="1" si="1"/>
        <v>0</v>
      </c>
      <c r="P13" s="9"/>
      <c r="Q13" s="20"/>
      <c r="R13" s="21" t="s">
        <v>8</v>
      </c>
      <c r="T13" s="22">
        <f t="shared" ca="1" si="10"/>
        <v>0</v>
      </c>
      <c r="U13" s="22">
        <f t="shared" ca="1" si="2"/>
        <v>0</v>
      </c>
      <c r="V13" s="22">
        <f t="shared" ca="1" si="2"/>
        <v>0</v>
      </c>
      <c r="W13" s="7">
        <f t="shared" ca="1" si="11"/>
        <v>7</v>
      </c>
      <c r="X13" s="19">
        <f t="shared" ca="1" si="3"/>
        <v>0</v>
      </c>
      <c r="Y13" s="7">
        <f t="shared" ca="1" si="4"/>
        <v>0</v>
      </c>
      <c r="Z13" s="7">
        <f t="shared" ca="1" si="5"/>
        <v>1</v>
      </c>
      <c r="AA13" s="7">
        <f t="shared" ca="1" si="6"/>
        <v>1</v>
      </c>
    </row>
    <row r="14" spans="1:27" ht="15" thickBot="1" x14ac:dyDescent="0.4">
      <c r="A14" s="7">
        <v>12</v>
      </c>
      <c r="B14" s="11">
        <f t="shared" ca="1" si="7"/>
        <v>43842</v>
      </c>
      <c r="C14" s="12">
        <f t="shared" ca="1" si="0"/>
        <v>43842</v>
      </c>
      <c r="E14" s="16" t="s">
        <v>3</v>
      </c>
      <c r="F14" s="23"/>
      <c r="G14" s="16" t="s">
        <v>4</v>
      </c>
      <c r="H14" s="15"/>
      <c r="I14" s="16" t="s">
        <v>5</v>
      </c>
      <c r="J14" s="24"/>
      <c r="K14" s="16" t="s">
        <v>6</v>
      </c>
      <c r="L14" s="9"/>
      <c r="M14" s="18">
        <f t="shared" ca="1" si="8"/>
        <v>0</v>
      </c>
      <c r="N14" s="18">
        <f t="shared" ca="1" si="9"/>
        <v>0</v>
      </c>
      <c r="O14" s="19">
        <f t="shared" ca="1" si="1"/>
        <v>0</v>
      </c>
      <c r="P14" s="9"/>
      <c r="Q14" s="20"/>
      <c r="R14" s="21" t="s">
        <v>8</v>
      </c>
      <c r="T14" s="22">
        <f t="shared" ca="1" si="10"/>
        <v>0</v>
      </c>
      <c r="U14" s="22">
        <f t="shared" ca="1" si="2"/>
        <v>0</v>
      </c>
      <c r="V14" s="22">
        <f t="shared" ca="1" si="2"/>
        <v>0</v>
      </c>
      <c r="W14" s="7">
        <f t="shared" ca="1" si="11"/>
        <v>1</v>
      </c>
      <c r="X14" s="19">
        <f t="shared" ca="1" si="3"/>
        <v>0</v>
      </c>
      <c r="Y14" s="7">
        <f t="shared" ca="1" si="4"/>
        <v>0</v>
      </c>
      <c r="Z14" s="7">
        <f t="shared" ca="1" si="5"/>
        <v>1</v>
      </c>
      <c r="AA14" s="7">
        <f t="shared" ca="1" si="6"/>
        <v>1</v>
      </c>
    </row>
    <row r="15" spans="1:27" ht="15" thickBot="1" x14ac:dyDescent="0.4">
      <c r="A15" s="7">
        <v>13</v>
      </c>
      <c r="B15" s="11">
        <f t="shared" ca="1" si="7"/>
        <v>43843</v>
      </c>
      <c r="C15" s="12">
        <f t="shared" ca="1" si="0"/>
        <v>43843</v>
      </c>
      <c r="D15" s="12"/>
      <c r="E15" s="29">
        <v>0.39583333333333331</v>
      </c>
      <c r="F15" s="23"/>
      <c r="G15" s="29">
        <v>0.58333333333333337</v>
      </c>
      <c r="H15" s="15"/>
      <c r="I15" s="29">
        <v>0.63541666666666663</v>
      </c>
      <c r="J15" s="24"/>
      <c r="K15" s="29">
        <v>0.77083333333333337</v>
      </c>
      <c r="L15" s="9"/>
      <c r="M15" s="18">
        <f t="shared" ca="1" si="8"/>
        <v>0.3229166666666668</v>
      </c>
      <c r="N15" s="18">
        <f t="shared" ca="1" si="9"/>
        <v>0.3229166666666668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465</v>
      </c>
      <c r="U15" s="22">
        <f t="shared" ca="1" si="2"/>
        <v>465</v>
      </c>
      <c r="V15" s="22">
        <f t="shared" ca="1" si="2"/>
        <v>0</v>
      </c>
      <c r="W15" s="7">
        <f t="shared" ca="1" si="11"/>
        <v>2</v>
      </c>
      <c r="X15" s="19">
        <f t="shared" ca="1" si="3"/>
        <v>0.33333333333333331</v>
      </c>
      <c r="Y15" s="7">
        <f t="shared" ca="1" si="4"/>
        <v>0</v>
      </c>
      <c r="Z15" s="7">
        <f t="shared" ca="1" si="5"/>
        <v>0</v>
      </c>
      <c r="AA15" s="7">
        <f t="shared" ca="1" si="6"/>
        <v>1</v>
      </c>
    </row>
    <row r="16" spans="1:27" ht="15" thickBot="1" x14ac:dyDescent="0.4">
      <c r="A16" s="7">
        <v>14</v>
      </c>
      <c r="B16" s="11">
        <f t="shared" ca="1" si="7"/>
        <v>43844</v>
      </c>
      <c r="C16" s="12">
        <f t="shared" ca="1" si="0"/>
        <v>43844</v>
      </c>
      <c r="E16" s="29">
        <v>0.39583333333333331</v>
      </c>
      <c r="F16" s="23"/>
      <c r="G16" s="29">
        <v>0.58333333333333337</v>
      </c>
      <c r="H16" s="15"/>
      <c r="I16" s="29">
        <v>0.63541666666666663</v>
      </c>
      <c r="J16" s="24"/>
      <c r="K16" s="29">
        <v>0.77083333333333337</v>
      </c>
      <c r="L16" s="9"/>
      <c r="M16" s="18">
        <f t="shared" ca="1" si="8"/>
        <v>0.3229166666666668</v>
      </c>
      <c r="N16" s="18">
        <f t="shared" ca="1" si="9"/>
        <v>0.3229166666666668</v>
      </c>
      <c r="O16" s="19">
        <f t="shared" ca="1" si="1"/>
        <v>0</v>
      </c>
      <c r="P16" s="9"/>
      <c r="Q16" s="30"/>
      <c r="R16" s="21" t="s">
        <v>15</v>
      </c>
      <c r="T16" s="22">
        <f t="shared" ca="1" si="10"/>
        <v>465</v>
      </c>
      <c r="U16" s="22">
        <f t="shared" ca="1" si="2"/>
        <v>465</v>
      </c>
      <c r="V16" s="22">
        <f t="shared" ca="1" si="2"/>
        <v>0</v>
      </c>
      <c r="W16" s="7">
        <f t="shared" ca="1" si="11"/>
        <v>3</v>
      </c>
      <c r="X16" s="19">
        <f t="shared" ca="1" si="3"/>
        <v>0.33333333333333331</v>
      </c>
      <c r="Y16" s="7">
        <f t="shared" ca="1" si="4"/>
        <v>0</v>
      </c>
      <c r="Z16" s="7">
        <f t="shared" ca="1" si="5"/>
        <v>0</v>
      </c>
      <c r="AA16" s="7">
        <f t="shared" ca="1" si="6"/>
        <v>1</v>
      </c>
    </row>
    <row r="17" spans="1:27" ht="15" thickBot="1" x14ac:dyDescent="0.4">
      <c r="A17" s="7">
        <v>15</v>
      </c>
      <c r="B17" s="11">
        <f t="shared" ca="1" si="7"/>
        <v>43845</v>
      </c>
      <c r="C17" s="12">
        <f t="shared" ca="1" si="0"/>
        <v>43845</v>
      </c>
      <c r="D17" s="12"/>
      <c r="E17" s="29">
        <v>0.39583333333333331</v>
      </c>
      <c r="F17" s="23"/>
      <c r="G17" s="29">
        <v>0.58333333333333337</v>
      </c>
      <c r="H17" s="23"/>
      <c r="I17" s="29">
        <v>0.63541666666666663</v>
      </c>
      <c r="J17" s="24"/>
      <c r="K17" s="29">
        <v>0.77083333333333337</v>
      </c>
      <c r="L17" s="9"/>
      <c r="M17" s="18">
        <f t="shared" ca="1" si="8"/>
        <v>0.3229166666666668</v>
      </c>
      <c r="N17" s="18">
        <f t="shared" ca="1" si="9"/>
        <v>0.3229166666666668</v>
      </c>
      <c r="O17" s="19">
        <f t="shared" ca="1" si="1"/>
        <v>0</v>
      </c>
      <c r="P17" s="9"/>
      <c r="Q17" s="30"/>
      <c r="R17" s="21" t="s">
        <v>15</v>
      </c>
      <c r="T17" s="22">
        <f t="shared" ca="1" si="10"/>
        <v>465</v>
      </c>
      <c r="U17" s="22">
        <f t="shared" ca="1" si="2"/>
        <v>465</v>
      </c>
      <c r="V17" s="22">
        <f t="shared" ca="1" si="2"/>
        <v>0</v>
      </c>
      <c r="W17" s="7">
        <f t="shared" ca="1" si="11"/>
        <v>4</v>
      </c>
      <c r="X17" s="19">
        <f t="shared" ca="1" si="3"/>
        <v>0.33333333333333331</v>
      </c>
      <c r="Y17" s="7">
        <f t="shared" ca="1" si="4"/>
        <v>0</v>
      </c>
      <c r="Z17" s="7">
        <f t="shared" ca="1" si="5"/>
        <v>0</v>
      </c>
      <c r="AA17" s="7">
        <f t="shared" ca="1" si="6"/>
        <v>1</v>
      </c>
    </row>
    <row r="18" spans="1:27" ht="15" thickBot="1" x14ac:dyDescent="0.4">
      <c r="A18" s="7">
        <v>16</v>
      </c>
      <c r="B18" s="11">
        <f t="shared" ca="1" si="7"/>
        <v>43846</v>
      </c>
      <c r="C18" s="12">
        <f t="shared" ca="1" si="0"/>
        <v>43846</v>
      </c>
      <c r="E18" s="29">
        <v>0.39583333333333331</v>
      </c>
      <c r="F18" s="23"/>
      <c r="G18" s="29">
        <v>0.58333333333333337</v>
      </c>
      <c r="H18" s="23"/>
      <c r="I18" s="29">
        <v>0.63541666666666663</v>
      </c>
      <c r="J18" s="24"/>
      <c r="K18" s="29">
        <v>0.77083333333333337</v>
      </c>
      <c r="L18" s="9"/>
      <c r="M18" s="18">
        <f t="shared" ca="1" si="8"/>
        <v>0.3229166666666668</v>
      </c>
      <c r="N18" s="18">
        <f t="shared" ca="1" si="9"/>
        <v>0.3229166666666668</v>
      </c>
      <c r="O18" s="19">
        <f t="shared" ca="1" si="1"/>
        <v>0</v>
      </c>
      <c r="P18" s="9"/>
      <c r="Q18" s="30"/>
      <c r="R18" s="21" t="s">
        <v>15</v>
      </c>
      <c r="T18" s="22">
        <f t="shared" ca="1" si="10"/>
        <v>465</v>
      </c>
      <c r="U18" s="22">
        <f t="shared" ca="1" si="2"/>
        <v>465</v>
      </c>
      <c r="V18" s="22">
        <f t="shared" ca="1" si="2"/>
        <v>0</v>
      </c>
      <c r="W18" s="7">
        <f t="shared" ca="1" si="11"/>
        <v>5</v>
      </c>
      <c r="X18" s="19">
        <f t="shared" ca="1" si="3"/>
        <v>0.33333333333333331</v>
      </c>
      <c r="Y18" s="7">
        <f t="shared" ca="1" si="4"/>
        <v>0</v>
      </c>
      <c r="Z18" s="7">
        <f t="shared" ca="1" si="5"/>
        <v>0</v>
      </c>
      <c r="AA18" s="7">
        <f t="shared" ca="1" si="6"/>
        <v>1</v>
      </c>
    </row>
    <row r="19" spans="1:27" ht="15" thickBot="1" x14ac:dyDescent="0.4">
      <c r="A19" s="7">
        <v>17</v>
      </c>
      <c r="B19" s="11">
        <f t="shared" ca="1" si="7"/>
        <v>43847</v>
      </c>
      <c r="C19" s="12">
        <f t="shared" ca="1" si="0"/>
        <v>43847</v>
      </c>
      <c r="D19" s="12"/>
      <c r="E19" s="29">
        <v>0.39583333333333331</v>
      </c>
      <c r="F19" s="23"/>
      <c r="G19" s="29">
        <v>0.5625</v>
      </c>
      <c r="H19" s="15"/>
      <c r="I19" s="29">
        <v>0</v>
      </c>
      <c r="J19" s="24"/>
      <c r="K19" s="29">
        <v>0</v>
      </c>
      <c r="L19" s="9"/>
      <c r="M19" s="18">
        <f t="shared" ca="1" si="8"/>
        <v>0.16666666666666669</v>
      </c>
      <c r="N19" s="18">
        <f t="shared" ca="1" si="9"/>
        <v>0.16666666666666669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240</v>
      </c>
      <c r="U19" s="22">
        <f t="shared" ca="1" si="10"/>
        <v>240</v>
      </c>
      <c r="V19" s="22">
        <f t="shared" ca="1" si="10"/>
        <v>0</v>
      </c>
      <c r="W19" s="7">
        <f t="shared" ca="1" si="11"/>
        <v>6</v>
      </c>
      <c r="X19" s="19">
        <f t="shared" ca="1" si="3"/>
        <v>0.25</v>
      </c>
      <c r="Y19" s="7">
        <f t="shared" ca="1" si="4"/>
        <v>0</v>
      </c>
      <c r="Z19" s="7">
        <f t="shared" ca="1" si="5"/>
        <v>0</v>
      </c>
      <c r="AA19" s="7">
        <f t="shared" ca="1" si="6"/>
        <v>1</v>
      </c>
    </row>
    <row r="20" spans="1:27" ht="15" thickBot="1" x14ac:dyDescent="0.4">
      <c r="A20" s="7">
        <v>18</v>
      </c>
      <c r="B20" s="11">
        <f t="shared" ca="1" si="7"/>
        <v>43848</v>
      </c>
      <c r="C20" s="12">
        <f t="shared" ca="1" si="0"/>
        <v>43848</v>
      </c>
      <c r="E20" s="16" t="s">
        <v>3</v>
      </c>
      <c r="F20" s="23"/>
      <c r="G20" s="16" t="s">
        <v>4</v>
      </c>
      <c r="H20" s="15"/>
      <c r="I20" s="16" t="s">
        <v>30</v>
      </c>
      <c r="J20" s="24"/>
      <c r="K20" s="16" t="s">
        <v>34</v>
      </c>
      <c r="L20" s="9"/>
      <c r="M20" s="18">
        <f t="shared" ca="1" si="8"/>
        <v>0</v>
      </c>
      <c r="N20" s="18">
        <f t="shared" ca="1" si="9"/>
        <v>0</v>
      </c>
      <c r="O20" s="19">
        <f t="shared" ca="1" si="1"/>
        <v>0</v>
      </c>
      <c r="P20" s="9"/>
      <c r="Q20" s="20"/>
      <c r="R20" s="21" t="s">
        <v>8</v>
      </c>
      <c r="T20" s="22">
        <f t="shared" ca="1" si="10"/>
        <v>0</v>
      </c>
      <c r="U20" s="22">
        <f t="shared" ca="1" si="10"/>
        <v>0</v>
      </c>
      <c r="V20" s="22">
        <f t="shared" ca="1" si="10"/>
        <v>0</v>
      </c>
      <c r="W20" s="7">
        <f t="shared" ca="1" si="11"/>
        <v>7</v>
      </c>
      <c r="X20" s="19">
        <f t="shared" ca="1" si="3"/>
        <v>0</v>
      </c>
      <c r="Y20" s="7">
        <f t="shared" ca="1" si="4"/>
        <v>0</v>
      </c>
      <c r="Z20" s="7">
        <f t="shared" ca="1" si="5"/>
        <v>1</v>
      </c>
      <c r="AA20" s="7">
        <f t="shared" ca="1" si="6"/>
        <v>1</v>
      </c>
    </row>
    <row r="21" spans="1:27" ht="15" thickBot="1" x14ac:dyDescent="0.4">
      <c r="A21" s="7">
        <v>19</v>
      </c>
      <c r="B21" s="11">
        <f t="shared" ca="1" si="7"/>
        <v>43849</v>
      </c>
      <c r="C21" s="12">
        <f t="shared" ca="1" si="0"/>
        <v>43849</v>
      </c>
      <c r="D21" s="12"/>
      <c r="E21" s="16" t="s">
        <v>3</v>
      </c>
      <c r="F21" s="23"/>
      <c r="G21" s="16" t="s">
        <v>4</v>
      </c>
      <c r="H21" s="15"/>
      <c r="I21" s="16" t="s">
        <v>31</v>
      </c>
      <c r="J21" s="24"/>
      <c r="K21" s="16" t="s">
        <v>35</v>
      </c>
      <c r="L21" s="9"/>
      <c r="M21" s="18">
        <f t="shared" ca="1" si="8"/>
        <v>0</v>
      </c>
      <c r="N21" s="18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0</v>
      </c>
      <c r="U21" s="22">
        <f t="shared" ca="1" si="10"/>
        <v>0</v>
      </c>
      <c r="V21" s="22">
        <f t="shared" ca="1" si="10"/>
        <v>0</v>
      </c>
      <c r="W21" s="7">
        <f t="shared" ca="1" si="11"/>
        <v>1</v>
      </c>
      <c r="X21" s="19">
        <f t="shared" ca="1" si="3"/>
        <v>0</v>
      </c>
      <c r="Y21" s="7">
        <f t="shared" ca="1" si="4"/>
        <v>0</v>
      </c>
      <c r="Z21" s="7">
        <f t="shared" ca="1" si="5"/>
        <v>1</v>
      </c>
      <c r="AA21" s="7">
        <f t="shared" ca="1" si="6"/>
        <v>1</v>
      </c>
    </row>
    <row r="22" spans="1:27" ht="15" thickBot="1" x14ac:dyDescent="0.4">
      <c r="A22" s="7">
        <v>20</v>
      </c>
      <c r="B22" s="11">
        <f t="shared" ca="1" si="7"/>
        <v>43850</v>
      </c>
      <c r="C22" s="12">
        <f t="shared" ca="1" si="0"/>
        <v>43850</v>
      </c>
      <c r="E22" s="29">
        <v>0.39583333333333331</v>
      </c>
      <c r="F22" s="23"/>
      <c r="G22" s="29">
        <v>0.58333333333333337</v>
      </c>
      <c r="H22" s="15"/>
      <c r="I22" s="29">
        <v>0.63541666666666663</v>
      </c>
      <c r="J22" s="24"/>
      <c r="K22" s="29">
        <v>0.77083333333333337</v>
      </c>
      <c r="L22" s="9"/>
      <c r="M22" s="18">
        <f t="shared" ca="1" si="8"/>
        <v>0.3229166666666668</v>
      </c>
      <c r="N22" s="18">
        <f t="shared" ca="1" si="9"/>
        <v>0.3229166666666668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465</v>
      </c>
      <c r="U22" s="22">
        <f t="shared" ca="1" si="10"/>
        <v>465</v>
      </c>
      <c r="V22" s="22">
        <f t="shared" ca="1" si="10"/>
        <v>0</v>
      </c>
      <c r="W22" s="7">
        <f t="shared" ca="1" si="11"/>
        <v>2</v>
      </c>
      <c r="X22" s="19">
        <f t="shared" ca="1" si="3"/>
        <v>0.33333333333333331</v>
      </c>
      <c r="Y22" s="7">
        <f t="shared" ca="1" si="4"/>
        <v>0</v>
      </c>
      <c r="Z22" s="7">
        <f t="shared" ca="1" si="5"/>
        <v>0</v>
      </c>
      <c r="AA22" s="7">
        <f t="shared" ca="1" si="6"/>
        <v>1</v>
      </c>
    </row>
    <row r="23" spans="1:27" ht="15" thickBot="1" x14ac:dyDescent="0.4">
      <c r="A23" s="7">
        <v>21</v>
      </c>
      <c r="B23" s="11">
        <f t="shared" ca="1" si="7"/>
        <v>43851</v>
      </c>
      <c r="C23" s="12">
        <f t="shared" ca="1" si="0"/>
        <v>43851</v>
      </c>
      <c r="D23" s="12"/>
      <c r="E23" s="29">
        <v>0.39583333333333331</v>
      </c>
      <c r="F23" s="23"/>
      <c r="G23" s="29">
        <v>0.58333333333333337</v>
      </c>
      <c r="H23" s="15"/>
      <c r="I23" s="29">
        <v>0.63541666666666663</v>
      </c>
      <c r="J23" s="24"/>
      <c r="K23" s="29">
        <v>0.77083333333333337</v>
      </c>
      <c r="L23" s="9"/>
      <c r="M23" s="18">
        <f t="shared" ca="1" si="8"/>
        <v>0.3229166666666668</v>
      </c>
      <c r="N23" s="18">
        <f t="shared" ca="1" si="9"/>
        <v>0.3229166666666668</v>
      </c>
      <c r="O23" s="19">
        <f t="shared" ca="1" si="1"/>
        <v>0</v>
      </c>
      <c r="P23" s="9"/>
      <c r="Q23" s="30"/>
      <c r="R23" s="21" t="s">
        <v>15</v>
      </c>
      <c r="T23" s="22">
        <f t="shared" ca="1" si="10"/>
        <v>465</v>
      </c>
      <c r="U23" s="22">
        <f t="shared" ca="1" si="10"/>
        <v>465</v>
      </c>
      <c r="V23" s="22">
        <f t="shared" ca="1" si="10"/>
        <v>0</v>
      </c>
      <c r="W23" s="7">
        <f t="shared" ca="1" si="11"/>
        <v>3</v>
      </c>
      <c r="X23" s="19">
        <f t="shared" ca="1" si="3"/>
        <v>0.33333333333333331</v>
      </c>
      <c r="Y23" s="7">
        <f t="shared" ca="1" si="4"/>
        <v>0</v>
      </c>
      <c r="Z23" s="7">
        <f t="shared" ca="1" si="5"/>
        <v>0</v>
      </c>
      <c r="AA23" s="7">
        <f t="shared" ca="1" si="6"/>
        <v>1</v>
      </c>
    </row>
    <row r="24" spans="1:27" ht="15" thickBot="1" x14ac:dyDescent="0.4">
      <c r="A24" s="7">
        <v>22</v>
      </c>
      <c r="B24" s="11">
        <f t="shared" ca="1" si="7"/>
        <v>43852</v>
      </c>
      <c r="C24" s="12">
        <f t="shared" ca="1" si="0"/>
        <v>43852</v>
      </c>
      <c r="E24" s="29">
        <v>0.39583333333333331</v>
      </c>
      <c r="F24" s="23"/>
      <c r="G24" s="29">
        <v>0.58333333333333337</v>
      </c>
      <c r="H24" s="15"/>
      <c r="I24" s="29">
        <v>0.63541666666666663</v>
      </c>
      <c r="J24" s="24"/>
      <c r="K24" s="29">
        <v>0.77083333333333337</v>
      </c>
      <c r="L24" s="9"/>
      <c r="M24" s="18">
        <f t="shared" ca="1" si="8"/>
        <v>0.3229166666666668</v>
      </c>
      <c r="N24" s="18">
        <f t="shared" ca="1" si="9"/>
        <v>0.3229166666666668</v>
      </c>
      <c r="O24" s="19">
        <f t="shared" ca="1" si="1"/>
        <v>0</v>
      </c>
      <c r="P24" s="9"/>
      <c r="Q24" s="30"/>
      <c r="R24" s="21" t="s">
        <v>15</v>
      </c>
      <c r="T24" s="22">
        <f t="shared" ca="1" si="10"/>
        <v>465</v>
      </c>
      <c r="U24" s="22">
        <f t="shared" ca="1" si="10"/>
        <v>465</v>
      </c>
      <c r="V24" s="22">
        <f t="shared" ca="1" si="10"/>
        <v>0</v>
      </c>
      <c r="W24" s="7">
        <f t="shared" ca="1" si="11"/>
        <v>4</v>
      </c>
      <c r="X24" s="19">
        <f t="shared" ca="1" si="3"/>
        <v>0.33333333333333331</v>
      </c>
      <c r="Y24" s="7">
        <f t="shared" ca="1" si="4"/>
        <v>0</v>
      </c>
      <c r="Z24" s="7">
        <f t="shared" ca="1" si="5"/>
        <v>0</v>
      </c>
      <c r="AA24" s="7">
        <f t="shared" ca="1" si="6"/>
        <v>1</v>
      </c>
    </row>
    <row r="25" spans="1:27" ht="15" thickBot="1" x14ac:dyDescent="0.4">
      <c r="A25" s="7">
        <v>23</v>
      </c>
      <c r="B25" s="11">
        <f t="shared" ca="1" si="7"/>
        <v>43853</v>
      </c>
      <c r="C25" s="12">
        <f t="shared" ca="1" si="0"/>
        <v>43853</v>
      </c>
      <c r="D25" s="12"/>
      <c r="E25" s="29">
        <v>0.39583333333333331</v>
      </c>
      <c r="F25" s="23"/>
      <c r="G25" s="29">
        <v>0.58333333333333337</v>
      </c>
      <c r="H25" s="23"/>
      <c r="I25" s="29">
        <v>0.63541666666666663</v>
      </c>
      <c r="J25" s="24"/>
      <c r="K25" s="29">
        <v>0.77083333333333337</v>
      </c>
      <c r="L25" s="9"/>
      <c r="M25" s="18">
        <f t="shared" ca="1" si="8"/>
        <v>0.3229166666666668</v>
      </c>
      <c r="N25" s="18">
        <f t="shared" ca="1" si="9"/>
        <v>0.3229166666666668</v>
      </c>
      <c r="O25" s="19">
        <f t="shared" ca="1" si="1"/>
        <v>0</v>
      </c>
      <c r="P25" s="9"/>
      <c r="Q25" s="30"/>
      <c r="R25" s="21" t="s">
        <v>15</v>
      </c>
      <c r="T25" s="22">
        <f t="shared" ca="1" si="10"/>
        <v>465</v>
      </c>
      <c r="U25" s="22">
        <f t="shared" ca="1" si="10"/>
        <v>465</v>
      </c>
      <c r="V25" s="22">
        <f t="shared" ca="1" si="10"/>
        <v>0</v>
      </c>
      <c r="W25" s="7">
        <f t="shared" ca="1" si="11"/>
        <v>5</v>
      </c>
      <c r="X25" s="19">
        <f t="shared" ca="1" si="3"/>
        <v>0.33333333333333331</v>
      </c>
      <c r="Y25" s="7">
        <f t="shared" ca="1" si="4"/>
        <v>0</v>
      </c>
      <c r="Z25" s="7">
        <f t="shared" ca="1" si="5"/>
        <v>0</v>
      </c>
      <c r="AA25" s="7">
        <f t="shared" ca="1" si="6"/>
        <v>1</v>
      </c>
    </row>
    <row r="26" spans="1:27" ht="15" thickBot="1" x14ac:dyDescent="0.4">
      <c r="A26" s="7">
        <v>24</v>
      </c>
      <c r="B26" s="11">
        <f t="shared" ca="1" si="7"/>
        <v>43854</v>
      </c>
      <c r="C26" s="12">
        <f t="shared" ca="1" si="0"/>
        <v>43854</v>
      </c>
      <c r="E26" s="29">
        <v>0.39583333333333331</v>
      </c>
      <c r="F26" s="23"/>
      <c r="G26" s="29">
        <v>0.5625</v>
      </c>
      <c r="H26" s="23"/>
      <c r="I26" s="29">
        <v>0</v>
      </c>
      <c r="J26" s="24"/>
      <c r="K26" s="29">
        <v>0</v>
      </c>
      <c r="L26" s="9"/>
      <c r="M26" s="18">
        <f t="shared" ca="1" si="8"/>
        <v>0.16666666666666669</v>
      </c>
      <c r="N26" s="18">
        <f t="shared" ca="1" si="9"/>
        <v>0.16666666666666669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240</v>
      </c>
      <c r="U26" s="22">
        <f t="shared" ca="1" si="10"/>
        <v>240</v>
      </c>
      <c r="V26" s="22">
        <f t="shared" ca="1" si="10"/>
        <v>0</v>
      </c>
      <c r="W26" s="7">
        <f t="shared" ca="1" si="11"/>
        <v>6</v>
      </c>
      <c r="X26" s="19">
        <f t="shared" ca="1" si="3"/>
        <v>0.25</v>
      </c>
      <c r="Y26" s="7">
        <f t="shared" ca="1" si="4"/>
        <v>0</v>
      </c>
      <c r="Z26" s="7">
        <f t="shared" ca="1" si="5"/>
        <v>0</v>
      </c>
      <c r="AA26" s="7">
        <f t="shared" ca="1" si="6"/>
        <v>1</v>
      </c>
    </row>
    <row r="27" spans="1:27" ht="15" thickBot="1" x14ac:dyDescent="0.4">
      <c r="A27" s="7">
        <v>25</v>
      </c>
      <c r="B27" s="11">
        <f t="shared" ca="1" si="7"/>
        <v>43855</v>
      </c>
      <c r="C27" s="12">
        <f t="shared" ca="1" si="0"/>
        <v>43855</v>
      </c>
      <c r="D27" s="12"/>
      <c r="E27" s="16" t="s">
        <v>3</v>
      </c>
      <c r="F27" s="23"/>
      <c r="G27" s="16" t="s">
        <v>4</v>
      </c>
      <c r="H27" s="15"/>
      <c r="I27" s="16" t="s">
        <v>32</v>
      </c>
      <c r="J27" s="24"/>
      <c r="K27" s="29" t="s">
        <v>36</v>
      </c>
      <c r="L27" s="9"/>
      <c r="M27" s="18">
        <f t="shared" ca="1" si="8"/>
        <v>0</v>
      </c>
      <c r="N27" s="18">
        <f t="shared" ca="1" si="9"/>
        <v>0</v>
      </c>
      <c r="O27" s="19">
        <f t="shared" ca="1" si="1"/>
        <v>0</v>
      </c>
      <c r="P27" s="9"/>
      <c r="Q27" s="20"/>
      <c r="R27" s="21" t="s">
        <v>8</v>
      </c>
      <c r="T27" s="22">
        <f t="shared" ca="1" si="10"/>
        <v>0</v>
      </c>
      <c r="U27" s="22">
        <f t="shared" ca="1" si="10"/>
        <v>0</v>
      </c>
      <c r="V27" s="22">
        <f t="shared" ca="1" si="10"/>
        <v>0</v>
      </c>
      <c r="W27" s="7">
        <f t="shared" ca="1" si="11"/>
        <v>7</v>
      </c>
      <c r="X27" s="19">
        <f t="shared" ca="1" si="3"/>
        <v>0</v>
      </c>
      <c r="Y27" s="7">
        <f t="shared" ca="1" si="4"/>
        <v>0</v>
      </c>
      <c r="Z27" s="7">
        <f t="shared" ca="1" si="5"/>
        <v>1</v>
      </c>
      <c r="AA27" s="7">
        <f t="shared" ca="1" si="6"/>
        <v>1</v>
      </c>
    </row>
    <row r="28" spans="1:27" ht="15" thickBot="1" x14ac:dyDescent="0.4">
      <c r="A28" s="7">
        <v>26</v>
      </c>
      <c r="B28" s="11">
        <f t="shared" ca="1" si="7"/>
        <v>43856</v>
      </c>
      <c r="C28" s="12">
        <f t="shared" ca="1" si="0"/>
        <v>43856</v>
      </c>
      <c r="E28" s="16" t="s">
        <v>3</v>
      </c>
      <c r="F28" s="23"/>
      <c r="G28" s="16" t="s">
        <v>4</v>
      </c>
      <c r="H28" s="15"/>
      <c r="I28" s="16" t="s">
        <v>33</v>
      </c>
      <c r="J28" s="24"/>
      <c r="K28" s="29" t="s">
        <v>37</v>
      </c>
      <c r="L28" s="9"/>
      <c r="M28" s="18">
        <f t="shared" ca="1" si="8"/>
        <v>0</v>
      </c>
      <c r="N28" s="18">
        <f t="shared" ca="1" si="9"/>
        <v>0</v>
      </c>
      <c r="O28" s="19">
        <f t="shared" ca="1" si="1"/>
        <v>0</v>
      </c>
      <c r="P28" s="9"/>
      <c r="Q28" s="20"/>
      <c r="R28" s="21" t="s">
        <v>8</v>
      </c>
      <c r="T28" s="22">
        <f t="shared" ca="1" si="10"/>
        <v>0</v>
      </c>
      <c r="U28" s="22">
        <f t="shared" ca="1" si="10"/>
        <v>0</v>
      </c>
      <c r="V28" s="22">
        <f t="shared" ca="1" si="10"/>
        <v>0</v>
      </c>
      <c r="W28" s="7">
        <f t="shared" ca="1" si="11"/>
        <v>1</v>
      </c>
      <c r="X28" s="19">
        <f t="shared" ca="1" si="3"/>
        <v>0</v>
      </c>
      <c r="Y28" s="7">
        <f t="shared" ca="1" si="4"/>
        <v>0</v>
      </c>
      <c r="Z28" s="7">
        <f t="shared" ca="1" si="5"/>
        <v>1</v>
      </c>
      <c r="AA28" s="7">
        <f t="shared" ca="1" si="6"/>
        <v>1</v>
      </c>
    </row>
    <row r="29" spans="1:27" ht="15" thickBot="1" x14ac:dyDescent="0.4">
      <c r="A29" s="7">
        <v>27</v>
      </c>
      <c r="B29" s="11">
        <f t="shared" ca="1" si="7"/>
        <v>43857</v>
      </c>
      <c r="C29" s="12">
        <f t="shared" ca="1" si="0"/>
        <v>43857</v>
      </c>
      <c r="D29" s="12"/>
      <c r="E29" s="29">
        <v>0.39583333333333331</v>
      </c>
      <c r="F29" s="23"/>
      <c r="G29" s="29">
        <v>0.58333333333333337</v>
      </c>
      <c r="H29" s="15"/>
      <c r="I29" s="29">
        <v>0.63541666666666663</v>
      </c>
      <c r="J29" s="24"/>
      <c r="K29" s="29">
        <v>0.77083333333333337</v>
      </c>
      <c r="L29" s="9"/>
      <c r="M29" s="18">
        <f t="shared" ca="1" si="8"/>
        <v>0.3229166666666668</v>
      </c>
      <c r="N29" s="18">
        <f t="shared" ca="1" si="9"/>
        <v>0.3229166666666668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465</v>
      </c>
      <c r="U29" s="22">
        <f t="shared" ca="1" si="10"/>
        <v>465</v>
      </c>
      <c r="V29" s="22">
        <f t="shared" ca="1" si="10"/>
        <v>0</v>
      </c>
      <c r="W29" s="7">
        <f t="shared" ca="1" si="11"/>
        <v>2</v>
      </c>
      <c r="X29" s="19">
        <f t="shared" ca="1" si="3"/>
        <v>0.33333333333333331</v>
      </c>
      <c r="Y29" s="7">
        <f t="shared" ca="1" si="4"/>
        <v>0</v>
      </c>
      <c r="Z29" s="7">
        <f t="shared" ca="1" si="5"/>
        <v>0</v>
      </c>
      <c r="AA29" s="7">
        <f t="shared" ca="1" si="6"/>
        <v>1</v>
      </c>
    </row>
    <row r="30" spans="1:27" ht="15" thickBot="1" x14ac:dyDescent="0.4">
      <c r="A30" s="7">
        <v>28</v>
      </c>
      <c r="B30" s="11">
        <f t="shared" ca="1" si="7"/>
        <v>43858</v>
      </c>
      <c r="C30" s="12">
        <f t="shared" ca="1" si="0"/>
        <v>43858</v>
      </c>
      <c r="E30" s="29">
        <v>0.39583333333333331</v>
      </c>
      <c r="F30" s="23"/>
      <c r="G30" s="29">
        <v>0.58333333333333337</v>
      </c>
      <c r="H30" s="15"/>
      <c r="I30" s="29">
        <v>0.63541666666666663</v>
      </c>
      <c r="J30" s="24"/>
      <c r="K30" s="29">
        <v>0.77083333333333337</v>
      </c>
      <c r="L30" s="9"/>
      <c r="M30" s="18">
        <f t="shared" ca="1" si="8"/>
        <v>0.3229166666666668</v>
      </c>
      <c r="N30" s="18">
        <f t="shared" ca="1" si="9"/>
        <v>0.3229166666666668</v>
      </c>
      <c r="O30" s="19">
        <f t="shared" ca="1" si="1"/>
        <v>0</v>
      </c>
      <c r="P30" s="9"/>
      <c r="Q30" s="30"/>
      <c r="R30" s="21" t="s">
        <v>15</v>
      </c>
      <c r="T30" s="22">
        <f t="shared" ca="1" si="10"/>
        <v>465</v>
      </c>
      <c r="U30" s="22">
        <f t="shared" ca="1" si="10"/>
        <v>465</v>
      </c>
      <c r="V30" s="22">
        <f t="shared" ca="1" si="10"/>
        <v>0</v>
      </c>
      <c r="W30" s="7">
        <f t="shared" ca="1" si="11"/>
        <v>3</v>
      </c>
      <c r="X30" s="19">
        <f t="shared" ca="1" si="3"/>
        <v>0.33333333333333331</v>
      </c>
      <c r="Y30" s="7">
        <f t="shared" ca="1" si="4"/>
        <v>0</v>
      </c>
      <c r="Z30" s="7">
        <f t="shared" ca="1" si="5"/>
        <v>0</v>
      </c>
      <c r="AA30" s="7">
        <f t="shared" ca="1" si="6"/>
        <v>1</v>
      </c>
    </row>
    <row r="31" spans="1:27" ht="15" thickBot="1" x14ac:dyDescent="0.4">
      <c r="A31" s="7">
        <v>29</v>
      </c>
      <c r="B31" s="11">
        <f t="shared" ca="1" si="7"/>
        <v>43859</v>
      </c>
      <c r="C31" s="12">
        <f t="shared" ca="1" si="0"/>
        <v>43859</v>
      </c>
      <c r="D31" s="12"/>
      <c r="E31" s="29">
        <v>0.39583333333333331</v>
      </c>
      <c r="F31" s="23"/>
      <c r="G31" s="29">
        <v>0.58333333333333337</v>
      </c>
      <c r="H31" s="15"/>
      <c r="I31" s="29">
        <v>0.63541666666666663</v>
      </c>
      <c r="J31" s="24"/>
      <c r="K31" s="29">
        <v>0.77083333333333337</v>
      </c>
      <c r="L31" s="9"/>
      <c r="M31" s="18">
        <f t="shared" ca="1" si="8"/>
        <v>0.3229166666666668</v>
      </c>
      <c r="N31" s="18">
        <f t="shared" ca="1" si="9"/>
        <v>0.3229166666666668</v>
      </c>
      <c r="O31" s="19">
        <f t="shared" ca="1" si="1"/>
        <v>0</v>
      </c>
      <c r="P31" s="9"/>
      <c r="Q31" s="30"/>
      <c r="R31" s="21" t="s">
        <v>15</v>
      </c>
      <c r="T31" s="22">
        <f t="shared" ca="1" si="10"/>
        <v>465</v>
      </c>
      <c r="U31" s="22">
        <f t="shared" ca="1" si="10"/>
        <v>465</v>
      </c>
      <c r="V31" s="22">
        <f t="shared" ca="1" si="10"/>
        <v>0</v>
      </c>
      <c r="W31" s="7">
        <f t="shared" ca="1" si="11"/>
        <v>4</v>
      </c>
      <c r="X31" s="19">
        <f t="shared" ca="1" si="3"/>
        <v>0.33333333333333331</v>
      </c>
      <c r="Y31" s="7">
        <f t="shared" ca="1" si="4"/>
        <v>0</v>
      </c>
      <c r="Z31" s="7">
        <f t="shared" ca="1" si="5"/>
        <v>0</v>
      </c>
      <c r="AA31" s="7">
        <f t="shared" ca="1" si="6"/>
        <v>1</v>
      </c>
    </row>
    <row r="32" spans="1:27" ht="15" thickBot="1" x14ac:dyDescent="0.4">
      <c r="A32" s="7">
        <v>30</v>
      </c>
      <c r="B32" s="11">
        <f t="shared" ca="1" si="7"/>
        <v>43860</v>
      </c>
      <c r="C32" s="12">
        <f t="shared" ca="1" si="0"/>
        <v>43860</v>
      </c>
      <c r="E32" s="29">
        <v>0.39583333333333331</v>
      </c>
      <c r="F32" s="23"/>
      <c r="G32" s="29">
        <v>0.58333333333333337</v>
      </c>
      <c r="H32" s="15"/>
      <c r="I32" s="29">
        <v>0.63541666666666663</v>
      </c>
      <c r="J32" s="24"/>
      <c r="K32" s="29">
        <v>0.77083333333333337</v>
      </c>
      <c r="L32" s="9"/>
      <c r="M32" s="18">
        <f t="shared" ca="1" si="8"/>
        <v>0.3229166666666668</v>
      </c>
      <c r="N32" s="18">
        <f t="shared" ca="1" si="9"/>
        <v>0.3229166666666668</v>
      </c>
      <c r="O32" s="19">
        <f t="shared" ca="1" si="1"/>
        <v>0</v>
      </c>
      <c r="P32" s="9"/>
      <c r="Q32" s="30"/>
      <c r="R32" s="21" t="s">
        <v>15</v>
      </c>
      <c r="T32" s="22">
        <f t="shared" ca="1" si="10"/>
        <v>465</v>
      </c>
      <c r="U32" s="22">
        <f t="shared" ca="1" si="10"/>
        <v>465</v>
      </c>
      <c r="V32" s="22">
        <f t="shared" ca="1" si="10"/>
        <v>0</v>
      </c>
      <c r="W32" s="7">
        <f t="shared" ca="1" si="11"/>
        <v>5</v>
      </c>
      <c r="X32" s="19">
        <f t="shared" ca="1" si="3"/>
        <v>0.33333333333333331</v>
      </c>
      <c r="Y32" s="7">
        <f t="shared" ca="1" si="4"/>
        <v>0</v>
      </c>
      <c r="Z32" s="7">
        <f t="shared" ca="1" si="5"/>
        <v>0</v>
      </c>
      <c r="AA32" s="7">
        <f t="shared" ca="1" si="6"/>
        <v>1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43861</v>
      </c>
      <c r="E33" s="46">
        <v>0.39583333333333331</v>
      </c>
      <c r="F33" s="25"/>
      <c r="G33" s="46">
        <v>0.5625</v>
      </c>
      <c r="I33" s="29">
        <v>0</v>
      </c>
      <c r="J33" s="24"/>
      <c r="K33" s="29">
        <v>0</v>
      </c>
      <c r="L33" s="9"/>
      <c r="M33" s="18">
        <f t="shared" ca="1" si="8"/>
        <v>0.16666666666666669</v>
      </c>
      <c r="N33" s="18">
        <f t="shared" ca="1" si="9"/>
        <v>0.16666666666666669</v>
      </c>
      <c r="O33" s="19">
        <f t="shared" ca="1" si="1"/>
        <v>0</v>
      </c>
      <c r="P33" s="9"/>
      <c r="Q33" s="20"/>
      <c r="R33" s="21" t="s">
        <v>15</v>
      </c>
      <c r="T33" s="22">
        <f t="shared" ca="1" si="10"/>
        <v>240</v>
      </c>
      <c r="U33" s="22">
        <f t="shared" ca="1" si="10"/>
        <v>240</v>
      </c>
      <c r="V33" s="22">
        <f t="shared" ca="1" si="10"/>
        <v>0</v>
      </c>
      <c r="W33" s="7">
        <f t="shared" ca="1" si="11"/>
        <v>6</v>
      </c>
      <c r="X33" s="19">
        <f t="shared" ca="1" si="3"/>
        <v>0.25</v>
      </c>
      <c r="Y33" s="7">
        <f t="shared" ca="1" si="4"/>
        <v>0</v>
      </c>
      <c r="Z33" s="7">
        <f t="shared" ca="1" si="5"/>
        <v>0</v>
      </c>
      <c r="AA33" s="7">
        <f t="shared" ca="1" si="6"/>
        <v>1</v>
      </c>
    </row>
    <row r="34" spans="1:27" ht="15.5" thickTop="1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159.5</v>
      </c>
      <c r="N35" s="27">
        <f ca="1">SUM(U3:U33)/60</f>
        <v>159.5</v>
      </c>
      <c r="O35" s="27">
        <f ca="1">SUM(V3:V33)/60</f>
        <v>0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u8cMOqsEgql5ESf4mnf96IfU5NEsNsEDkTjoHbPoqqp9J8TByfhlLCNsoS00QDfn4n4bsRCgMPLl3bnZZthDxQ==" saltValue="outYvLS3NigGJgFTZIAG7A==" spinCount="100000" sheet="1" objects="1" scenarios="1"/>
  <mergeCells count="1">
    <mergeCell ref="B1:C1"/>
  </mergeCells>
  <conditionalFormatting sqref="G3:G33 E3:E33">
    <cfRule type="expression" dxfId="190" priority="6">
      <formula>VALUE(SUBSTITUTE($G3,":",""))&lt;VALUE(SUBSTITUTE($E3,":",""))</formula>
    </cfRule>
  </conditionalFormatting>
  <conditionalFormatting sqref="I3:I33 K3:K33">
    <cfRule type="expression" dxfId="189" priority="10">
      <formula>($K3-$I3)&lt;0</formula>
    </cfRule>
  </conditionalFormatting>
  <conditionalFormatting sqref="O3:O33">
    <cfRule type="cellIs" dxfId="188" priority="9" operator="greaterThan">
      <formula>0.1</formula>
    </cfRule>
    <cfRule type="expression" dxfId="187" priority="16">
      <formula>$R3="Fecha cerrada"</formula>
    </cfRule>
  </conditionalFormatting>
  <conditionalFormatting sqref="N3:N33">
    <cfRule type="expression" dxfId="186" priority="15">
      <formula>VALUE(SUBSTITUTE($G3,":",""))&lt;VALUE(SUBSTITUTE($E3,":",""))</formula>
    </cfRule>
  </conditionalFormatting>
  <conditionalFormatting sqref="N3:N33">
    <cfRule type="expression" dxfId="185" priority="14">
      <formula>$R3="Fecha cerrada"</formula>
    </cfRule>
  </conditionalFormatting>
  <conditionalFormatting sqref="X3:X33">
    <cfRule type="expression" dxfId="184" priority="13">
      <formula>VALUE(SUBSTITUTE($G3,":",""))&lt;VALUE(SUBSTITUTE($E3,":",""))</formula>
    </cfRule>
  </conditionalFormatting>
  <conditionalFormatting sqref="X3:X33">
    <cfRule type="expression" dxfId="183" priority="12">
      <formula>$R3="Fecha cerrada"</formula>
    </cfRule>
  </conditionalFormatting>
  <conditionalFormatting sqref="Q3:R33 E3:K17 E18:H32 I18:K33 N3:O33">
    <cfRule type="expression" dxfId="182" priority="1">
      <formula>OR($W3=1,$W3=7,$AA3&lt;&gt;_xlfn.SHEET($A$1),,IFERROR(VLOOKUP($C3,DiasVacaciones,1,FALSE+$O$14:$Q$14),0)&lt;&gt;0)</formula>
    </cfRule>
  </conditionalFormatting>
  <conditionalFormatting sqref="R3:R33">
    <cfRule type="cellIs" dxfId="181" priority="7" operator="equal">
      <formula>"Confirmar Fecha"</formula>
    </cfRule>
    <cfRule type="cellIs" dxfId="180" priority="8" operator="equal">
      <formula>"Confirmada"</formula>
    </cfRule>
  </conditionalFormatting>
  <conditionalFormatting sqref="M3:M33">
    <cfRule type="expression" dxfId="179" priority="5">
      <formula>VALUE(SUBSTITUTE($G3,":",""))&lt;VALUE(SUBSTITUTE($E3,":",""))</formula>
    </cfRule>
  </conditionalFormatting>
  <conditionalFormatting sqref="M3:M33">
    <cfRule type="expression" dxfId="178" priority="4">
      <formula>$R3="Fecha cerrada"</formula>
    </cfRule>
  </conditionalFormatting>
  <conditionalFormatting sqref="M3:M33">
    <cfRule type="expression" dxfId="177" priority="2">
      <formula>OR($W3=1,$W3=7,$Z3=1,$AA3&lt;&gt;_xlfn.SHEET($A$1))</formula>
    </cfRule>
  </conditionalFormatting>
  <conditionalFormatting sqref="E3:E33 G3:G33 I3:I33 K3:K33">
    <cfRule type="expression" dxfId="176" priority="11">
      <formula>$R3="Confirmada"</formula>
    </cfRule>
    <cfRule type="expression" dxfId="175" priority="18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E3:E33 G3:G33 K3:K33 I3:I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A39"/>
  <sheetViews>
    <sheetView showGridLines="0" workbookViewId="0">
      <selection activeCell="K33" sqref="K3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customWidth="1"/>
    <col min="20" max="20" width="6.26953125" style="7" customWidth="1"/>
    <col min="21" max="21" width="7.90625" style="7" customWidth="1"/>
    <col min="22" max="22" width="7.36328125" style="7" customWidth="1"/>
    <col min="23" max="24" width="10.90625" style="7" customWidth="1"/>
    <col min="25" max="25" width="11.1796875" style="7" customWidth="1"/>
    <col min="26" max="27" width="10.90625" style="7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43862</v>
      </c>
      <c r="C3" s="12">
        <f t="shared" ref="C3:C33" ca="1" si="0">DATE(Anualidad,_xlfn.SHEET(B1),A3)</f>
        <v>43862</v>
      </c>
      <c r="D3" s="12"/>
      <c r="E3" s="13">
        <v>0.82291666666666663</v>
      </c>
      <c r="F3" s="14"/>
      <c r="G3" s="13" t="s">
        <v>39</v>
      </c>
      <c r="H3" s="15"/>
      <c r="I3" s="29" t="s">
        <v>38</v>
      </c>
      <c r="J3" s="17"/>
      <c r="K3" s="16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8</v>
      </c>
      <c r="T3" s="22">
        <f ca="1">MINUTE(M3)+(HOUR(M3)*60)</f>
        <v>0</v>
      </c>
      <c r="U3" s="22">
        <f t="shared" ref="U3:V18" ca="1" si="2">MINUTE(N3)+(HOUR(N3)*60)</f>
        <v>0</v>
      </c>
      <c r="V3" s="22">
        <f t="shared" ca="1" si="2"/>
        <v>0</v>
      </c>
      <c r="W3" s="7">
        <f ca="1">WEEKDAY(C3)</f>
        <v>7</v>
      </c>
      <c r="X3" s="19">
        <f t="shared" ref="X3:X33" ca="1" si="3">IF(AND(W3&lt;&gt;7,W3&lt;&gt;1),IF(W3=DiaSemanaIntensiva,HorasIntensiva,HorasOrdinarias),0)</f>
        <v>0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1</v>
      </c>
      <c r="AA3" s="7">
        <f t="shared" ref="AA3:AA33" ca="1" si="6">MONTH(C3)</f>
        <v>2</v>
      </c>
    </row>
    <row r="4" spans="1:27" ht="15" thickBot="1" x14ac:dyDescent="0.4">
      <c r="A4" s="7">
        <v>2</v>
      </c>
      <c r="B4" s="11">
        <f t="shared" ref="B4:B32" ca="1" si="7">C4</f>
        <v>43863</v>
      </c>
      <c r="C4" s="12">
        <f t="shared" ca="1" si="0"/>
        <v>43863</v>
      </c>
      <c r="E4" s="29">
        <v>0.41666666666666669</v>
      </c>
      <c r="F4" s="23"/>
      <c r="G4" s="29">
        <v>0.71875</v>
      </c>
      <c r="H4" s="15"/>
      <c r="I4" s="29">
        <v>0.67708333333333337</v>
      </c>
      <c r="J4" s="24"/>
      <c r="K4" s="29">
        <v>0.79166666666666663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</v>
      </c>
      <c r="O4" s="19">
        <f t="shared" ca="1" si="1"/>
        <v>0</v>
      </c>
      <c r="P4" s="9"/>
      <c r="Q4" s="30"/>
      <c r="R4" s="21" t="s">
        <v>8</v>
      </c>
      <c r="T4" s="22">
        <f t="shared" ref="T4:V33" ca="1" si="10">MINUTE(M4)+(HOUR(M4)*60)</f>
        <v>0</v>
      </c>
      <c r="U4" s="22">
        <f t="shared" ca="1" si="2"/>
        <v>0</v>
      </c>
      <c r="V4" s="22">
        <f t="shared" ca="1" si="2"/>
        <v>0</v>
      </c>
      <c r="W4" s="7">
        <f t="shared" ref="W4:W33" ca="1" si="11">WEEKDAY(C4)</f>
        <v>1</v>
      </c>
      <c r="X4" s="19">
        <f t="shared" ca="1" si="3"/>
        <v>0</v>
      </c>
      <c r="Y4" s="7">
        <f t="shared" ca="1" si="4"/>
        <v>0</v>
      </c>
      <c r="Z4" s="7">
        <f t="shared" ca="1" si="5"/>
        <v>1</v>
      </c>
      <c r="AA4" s="7">
        <f t="shared" ca="1" si="6"/>
        <v>2</v>
      </c>
    </row>
    <row r="5" spans="1:27" ht="15" thickBot="1" x14ac:dyDescent="0.4">
      <c r="A5" s="7">
        <v>3</v>
      </c>
      <c r="B5" s="11">
        <f t="shared" ca="1" si="7"/>
        <v>43864</v>
      </c>
      <c r="C5" s="12">
        <f t="shared" ca="1" si="0"/>
        <v>43864</v>
      </c>
      <c r="D5" s="12"/>
      <c r="E5" s="29">
        <v>0.39583333333333331</v>
      </c>
      <c r="F5" s="23"/>
      <c r="G5" s="29">
        <v>0.58333333333333337</v>
      </c>
      <c r="H5" s="15"/>
      <c r="I5" s="29">
        <v>0.63541666666666663</v>
      </c>
      <c r="J5" s="24"/>
      <c r="K5" s="29">
        <v>0.77083333333333337</v>
      </c>
      <c r="L5" s="9"/>
      <c r="M5" s="18">
        <f t="shared" ca="1" si="8"/>
        <v>0.3229166666666668</v>
      </c>
      <c r="N5" s="18">
        <f t="shared" ca="1" si="9"/>
        <v>0.3229166666666668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465</v>
      </c>
      <c r="U5" s="22">
        <f t="shared" ca="1" si="2"/>
        <v>465</v>
      </c>
      <c r="V5" s="22">
        <f t="shared" ca="1" si="2"/>
        <v>0</v>
      </c>
      <c r="W5" s="7">
        <f t="shared" ca="1" si="11"/>
        <v>2</v>
      </c>
      <c r="X5" s="19">
        <f t="shared" ca="1" si="3"/>
        <v>0.33333333333333331</v>
      </c>
      <c r="Y5" s="7">
        <f t="shared" ca="1" si="4"/>
        <v>0</v>
      </c>
      <c r="Z5" s="7">
        <f t="shared" ca="1" si="5"/>
        <v>0</v>
      </c>
      <c r="AA5" s="7">
        <f t="shared" ca="1" si="6"/>
        <v>2</v>
      </c>
    </row>
    <row r="6" spans="1:27" ht="15" thickBot="1" x14ac:dyDescent="0.4">
      <c r="A6" s="7">
        <v>4</v>
      </c>
      <c r="B6" s="11">
        <f t="shared" ca="1" si="7"/>
        <v>43865</v>
      </c>
      <c r="C6" s="12">
        <f t="shared" ca="1" si="0"/>
        <v>43865</v>
      </c>
      <c r="E6" s="29">
        <v>0.39583333333333331</v>
      </c>
      <c r="F6" s="23"/>
      <c r="G6" s="29">
        <v>0.58333333333333337</v>
      </c>
      <c r="H6" s="15"/>
      <c r="I6" s="29">
        <v>0.63541666666666663</v>
      </c>
      <c r="J6" s="24"/>
      <c r="K6" s="29">
        <v>0.77083333333333337</v>
      </c>
      <c r="L6" s="9"/>
      <c r="M6" s="18">
        <f t="shared" ca="1" si="8"/>
        <v>0.3229166666666668</v>
      </c>
      <c r="N6" s="18">
        <f t="shared" ca="1" si="9"/>
        <v>0.3229166666666668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465</v>
      </c>
      <c r="U6" s="22">
        <f t="shared" ca="1" si="2"/>
        <v>465</v>
      </c>
      <c r="V6" s="22">
        <f t="shared" ca="1" si="2"/>
        <v>0</v>
      </c>
      <c r="W6" s="7">
        <f t="shared" ca="1" si="11"/>
        <v>3</v>
      </c>
      <c r="X6" s="19">
        <f t="shared" ca="1" si="3"/>
        <v>0.33333333333333331</v>
      </c>
      <c r="Y6" s="7">
        <f t="shared" ca="1" si="4"/>
        <v>0</v>
      </c>
      <c r="Z6" s="7">
        <f t="shared" ca="1" si="5"/>
        <v>0</v>
      </c>
      <c r="AA6" s="7">
        <f t="shared" ca="1" si="6"/>
        <v>2</v>
      </c>
    </row>
    <row r="7" spans="1:27" ht="15" thickBot="1" x14ac:dyDescent="0.4">
      <c r="A7" s="7">
        <v>5</v>
      </c>
      <c r="B7" s="11">
        <f t="shared" ca="1" si="7"/>
        <v>43866</v>
      </c>
      <c r="C7" s="12">
        <f t="shared" ca="1" si="0"/>
        <v>43866</v>
      </c>
      <c r="D7" s="12"/>
      <c r="E7" s="29">
        <v>0.39583333333333331</v>
      </c>
      <c r="F7" s="23"/>
      <c r="G7" s="29">
        <v>0.58333333333333337</v>
      </c>
      <c r="H7" s="15"/>
      <c r="I7" s="29">
        <v>0.63541666666666663</v>
      </c>
      <c r="J7" s="24"/>
      <c r="K7" s="29">
        <v>0.77083333333333337</v>
      </c>
      <c r="L7" s="9"/>
      <c r="M7" s="18">
        <f t="shared" ca="1" si="8"/>
        <v>0.3229166666666668</v>
      </c>
      <c r="N7" s="18">
        <f t="shared" ca="1" si="9"/>
        <v>0.3229166666666668</v>
      </c>
      <c r="O7" s="19">
        <f t="shared" ca="1" si="1"/>
        <v>0</v>
      </c>
      <c r="P7" s="9"/>
      <c r="Q7" s="20"/>
      <c r="R7" s="21" t="s">
        <v>15</v>
      </c>
      <c r="T7" s="22">
        <f t="shared" ca="1" si="10"/>
        <v>465</v>
      </c>
      <c r="U7" s="22">
        <f t="shared" ca="1" si="2"/>
        <v>465</v>
      </c>
      <c r="V7" s="22">
        <f t="shared" ca="1" si="2"/>
        <v>0</v>
      </c>
      <c r="W7" s="7">
        <f t="shared" ca="1" si="11"/>
        <v>4</v>
      </c>
      <c r="X7" s="19">
        <f t="shared" ca="1" si="3"/>
        <v>0.33333333333333331</v>
      </c>
      <c r="Y7" s="7">
        <f t="shared" ca="1" si="4"/>
        <v>0</v>
      </c>
      <c r="Z7" s="7">
        <f t="shared" ca="1" si="5"/>
        <v>0</v>
      </c>
      <c r="AA7" s="7">
        <f t="shared" ca="1" si="6"/>
        <v>2</v>
      </c>
    </row>
    <row r="8" spans="1:27" ht="15" thickBot="1" x14ac:dyDescent="0.4">
      <c r="A8" s="7">
        <v>6</v>
      </c>
      <c r="B8" s="11">
        <f t="shared" ca="1" si="7"/>
        <v>43867</v>
      </c>
      <c r="C8" s="12">
        <f t="shared" ca="1" si="0"/>
        <v>43867</v>
      </c>
      <c r="E8" s="29">
        <v>0.39583333333333331</v>
      </c>
      <c r="F8" s="23"/>
      <c r="G8" s="29">
        <v>0.58333333333333337</v>
      </c>
      <c r="H8" s="15"/>
      <c r="I8" s="29">
        <v>0.63541666666666663</v>
      </c>
      <c r="J8" s="24"/>
      <c r="K8" s="29">
        <v>0.77083333333333337</v>
      </c>
      <c r="L8" s="9"/>
      <c r="M8" s="18">
        <f t="shared" ca="1" si="8"/>
        <v>0.3229166666666668</v>
      </c>
      <c r="N8" s="18">
        <f t="shared" ca="1" si="9"/>
        <v>0.3229166666666668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465</v>
      </c>
      <c r="U8" s="22">
        <f t="shared" ca="1" si="2"/>
        <v>465</v>
      </c>
      <c r="V8" s="22">
        <f t="shared" ca="1" si="2"/>
        <v>0</v>
      </c>
      <c r="W8" s="7">
        <f t="shared" ca="1" si="11"/>
        <v>5</v>
      </c>
      <c r="X8" s="19">
        <f t="shared" ca="1" si="3"/>
        <v>0.33333333333333331</v>
      </c>
      <c r="Y8" s="7">
        <f t="shared" ca="1" si="4"/>
        <v>0</v>
      </c>
      <c r="Z8" s="7">
        <f t="shared" ca="1" si="5"/>
        <v>0</v>
      </c>
      <c r="AA8" s="7">
        <f t="shared" ca="1" si="6"/>
        <v>2</v>
      </c>
    </row>
    <row r="9" spans="1:27" ht="15" thickBot="1" x14ac:dyDescent="0.4">
      <c r="A9" s="7">
        <v>7</v>
      </c>
      <c r="B9" s="11">
        <f t="shared" ca="1" si="7"/>
        <v>43868</v>
      </c>
      <c r="C9" s="12">
        <f t="shared" ca="1" si="0"/>
        <v>43868</v>
      </c>
      <c r="D9" s="12"/>
      <c r="E9" s="29">
        <v>0.375</v>
      </c>
      <c r="F9" s="23"/>
      <c r="G9" s="29">
        <v>0.64583333333333337</v>
      </c>
      <c r="H9" s="23"/>
      <c r="I9" s="29">
        <v>0.625</v>
      </c>
      <c r="J9" s="24"/>
      <c r="K9" s="29">
        <v>0.77083333333333337</v>
      </c>
      <c r="L9" s="9"/>
      <c r="M9" s="18">
        <f t="shared" ca="1" si="8"/>
        <v>0.41666666666666674</v>
      </c>
      <c r="N9" s="18">
        <f t="shared" ca="1" si="9"/>
        <v>0.25</v>
      </c>
      <c r="O9" s="19">
        <f t="shared" ca="1" si="1"/>
        <v>0.16666666666666674</v>
      </c>
      <c r="P9" s="9"/>
      <c r="Q9" s="30"/>
      <c r="R9" s="21" t="s">
        <v>15</v>
      </c>
      <c r="T9" s="22">
        <f t="shared" ca="1" si="10"/>
        <v>600</v>
      </c>
      <c r="U9" s="22">
        <f t="shared" ca="1" si="2"/>
        <v>360</v>
      </c>
      <c r="V9" s="22">
        <f t="shared" ca="1" si="2"/>
        <v>240</v>
      </c>
      <c r="W9" s="7">
        <f t="shared" ca="1" si="11"/>
        <v>6</v>
      </c>
      <c r="X9" s="19">
        <f t="shared" ca="1" si="3"/>
        <v>0.25</v>
      </c>
      <c r="Y9" s="7">
        <f t="shared" ca="1" si="4"/>
        <v>0</v>
      </c>
      <c r="Z9" s="7">
        <f t="shared" ca="1" si="5"/>
        <v>0</v>
      </c>
      <c r="AA9" s="7">
        <f t="shared" ca="1" si="6"/>
        <v>2</v>
      </c>
    </row>
    <row r="10" spans="1:27" ht="15" thickBot="1" x14ac:dyDescent="0.4">
      <c r="A10" s="7">
        <v>8</v>
      </c>
      <c r="B10" s="11">
        <f t="shared" ca="1" si="7"/>
        <v>43869</v>
      </c>
      <c r="C10" s="12">
        <f t="shared" ca="1" si="0"/>
        <v>43869</v>
      </c>
      <c r="E10" s="29">
        <v>0.375</v>
      </c>
      <c r="F10" s="23"/>
      <c r="G10" s="29">
        <v>0.64583333333333337</v>
      </c>
      <c r="H10" s="23"/>
      <c r="I10" s="29">
        <v>0.625</v>
      </c>
      <c r="J10" s="24"/>
      <c r="K10" s="29">
        <v>0.77083333333333337</v>
      </c>
      <c r="L10" s="9"/>
      <c r="M10" s="18">
        <f t="shared" ca="1" si="8"/>
        <v>0</v>
      </c>
      <c r="N10" s="18">
        <f t="shared" ca="1" si="9"/>
        <v>0</v>
      </c>
      <c r="O10" s="19">
        <f t="shared" ca="1" si="1"/>
        <v>0</v>
      </c>
      <c r="P10" s="9"/>
      <c r="Q10" s="20"/>
      <c r="R10" s="21" t="s">
        <v>15</v>
      </c>
      <c r="T10" s="22">
        <f t="shared" ca="1" si="10"/>
        <v>0</v>
      </c>
      <c r="U10" s="22">
        <f t="shared" ca="1" si="2"/>
        <v>0</v>
      </c>
      <c r="V10" s="22">
        <f t="shared" ca="1" si="2"/>
        <v>0</v>
      </c>
      <c r="W10" s="7">
        <f t="shared" ca="1" si="11"/>
        <v>7</v>
      </c>
      <c r="X10" s="19">
        <f t="shared" ca="1" si="3"/>
        <v>0</v>
      </c>
      <c r="Y10" s="7">
        <f t="shared" ca="1" si="4"/>
        <v>0</v>
      </c>
      <c r="Z10" s="7">
        <f t="shared" ca="1" si="5"/>
        <v>1</v>
      </c>
      <c r="AA10" s="7">
        <f t="shared" ca="1" si="6"/>
        <v>2</v>
      </c>
    </row>
    <row r="11" spans="1:27" ht="15" thickBot="1" x14ac:dyDescent="0.4">
      <c r="A11" s="7">
        <v>9</v>
      </c>
      <c r="B11" s="11">
        <f t="shared" ca="1" si="7"/>
        <v>43870</v>
      </c>
      <c r="C11" s="12">
        <f t="shared" ca="1" si="0"/>
        <v>43870</v>
      </c>
      <c r="D11" s="12"/>
      <c r="E11" s="29">
        <v>0.375</v>
      </c>
      <c r="F11" s="23"/>
      <c r="G11" s="29">
        <v>0.64583333333333337</v>
      </c>
      <c r="H11" s="15"/>
      <c r="I11" s="29">
        <v>0.625</v>
      </c>
      <c r="J11" s="24"/>
      <c r="K11" s="29">
        <v>0.77083333333333337</v>
      </c>
      <c r="L11" s="9"/>
      <c r="M11" s="18">
        <f t="shared" ca="1" si="8"/>
        <v>0</v>
      </c>
      <c r="N11" s="18">
        <f t="shared" ca="1" si="9"/>
        <v>0</v>
      </c>
      <c r="O11" s="19">
        <f t="shared" ca="1" si="1"/>
        <v>0</v>
      </c>
      <c r="P11" s="9"/>
      <c r="Q11" s="30"/>
      <c r="R11" s="21" t="s">
        <v>15</v>
      </c>
      <c r="T11" s="22">
        <f t="shared" ca="1" si="10"/>
        <v>0</v>
      </c>
      <c r="U11" s="22">
        <f t="shared" ca="1" si="2"/>
        <v>0</v>
      </c>
      <c r="V11" s="22">
        <f t="shared" ca="1" si="2"/>
        <v>0</v>
      </c>
      <c r="W11" s="7">
        <f t="shared" ca="1" si="11"/>
        <v>1</v>
      </c>
      <c r="X11" s="19">
        <f t="shared" ca="1" si="3"/>
        <v>0</v>
      </c>
      <c r="Y11" s="7">
        <f t="shared" ca="1" si="4"/>
        <v>0</v>
      </c>
      <c r="Z11" s="7">
        <f t="shared" ca="1" si="5"/>
        <v>1</v>
      </c>
      <c r="AA11" s="7">
        <f t="shared" ca="1" si="6"/>
        <v>2</v>
      </c>
    </row>
    <row r="12" spans="1:27" ht="15" thickBot="1" x14ac:dyDescent="0.4">
      <c r="A12" s="7">
        <v>10</v>
      </c>
      <c r="B12" s="11">
        <f t="shared" ca="1" si="7"/>
        <v>43871</v>
      </c>
      <c r="C12" s="12">
        <f t="shared" ca="1" si="0"/>
        <v>43871</v>
      </c>
      <c r="E12" s="29">
        <v>0.39583333333333331</v>
      </c>
      <c r="F12" s="23"/>
      <c r="G12" s="29">
        <v>0.58333333333333337</v>
      </c>
      <c r="H12" s="15"/>
      <c r="I12" s="29">
        <v>0.63541666666666663</v>
      </c>
      <c r="J12" s="24"/>
      <c r="K12" s="29">
        <v>0.77083333333333337</v>
      </c>
      <c r="L12" s="9"/>
      <c r="M12" s="18">
        <f t="shared" ca="1" si="8"/>
        <v>0.3229166666666668</v>
      </c>
      <c r="N12" s="18">
        <f t="shared" ca="1" si="9"/>
        <v>0.3229166666666668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465</v>
      </c>
      <c r="U12" s="22">
        <f t="shared" ca="1" si="2"/>
        <v>465</v>
      </c>
      <c r="V12" s="22">
        <f t="shared" ca="1" si="2"/>
        <v>0</v>
      </c>
      <c r="W12" s="7">
        <f t="shared" ca="1" si="11"/>
        <v>2</v>
      </c>
      <c r="X12" s="19">
        <f t="shared" ca="1" si="3"/>
        <v>0.33333333333333331</v>
      </c>
      <c r="Y12" s="7">
        <f t="shared" ca="1" si="4"/>
        <v>0</v>
      </c>
      <c r="Z12" s="7">
        <f t="shared" ca="1" si="5"/>
        <v>0</v>
      </c>
      <c r="AA12" s="7">
        <f t="shared" ca="1" si="6"/>
        <v>2</v>
      </c>
    </row>
    <row r="13" spans="1:27" ht="15" thickBot="1" x14ac:dyDescent="0.4">
      <c r="A13" s="7">
        <v>11</v>
      </c>
      <c r="B13" s="11">
        <f t="shared" ca="1" si="7"/>
        <v>43872</v>
      </c>
      <c r="C13" s="12">
        <f t="shared" ca="1" si="0"/>
        <v>43872</v>
      </c>
      <c r="D13" s="12"/>
      <c r="E13" s="29">
        <v>0.39583333333333331</v>
      </c>
      <c r="F13" s="23"/>
      <c r="G13" s="29">
        <v>0.58333333333333337</v>
      </c>
      <c r="H13" s="15"/>
      <c r="I13" s="29">
        <v>0.63541666666666663</v>
      </c>
      <c r="J13" s="24"/>
      <c r="K13" s="29">
        <v>0.77083333333333337</v>
      </c>
      <c r="L13" s="9"/>
      <c r="M13" s="18">
        <f t="shared" ca="1" si="8"/>
        <v>0.3229166666666668</v>
      </c>
      <c r="N13" s="18">
        <f t="shared" ca="1" si="9"/>
        <v>0.3229166666666668</v>
      </c>
      <c r="O13" s="19">
        <f t="shared" ca="1" si="1"/>
        <v>0</v>
      </c>
      <c r="P13" s="9"/>
      <c r="Q13" s="20"/>
      <c r="R13" s="21" t="s">
        <v>15</v>
      </c>
      <c r="T13" s="22">
        <f t="shared" ca="1" si="10"/>
        <v>465</v>
      </c>
      <c r="U13" s="22">
        <f t="shared" ca="1" si="2"/>
        <v>465</v>
      </c>
      <c r="V13" s="22">
        <f t="shared" ca="1" si="2"/>
        <v>0</v>
      </c>
      <c r="W13" s="7">
        <f t="shared" ca="1" si="11"/>
        <v>3</v>
      </c>
      <c r="X13" s="19">
        <f t="shared" ca="1" si="3"/>
        <v>0.33333333333333331</v>
      </c>
      <c r="Y13" s="7">
        <f t="shared" ca="1" si="4"/>
        <v>0</v>
      </c>
      <c r="Z13" s="7">
        <f t="shared" ca="1" si="5"/>
        <v>0</v>
      </c>
      <c r="AA13" s="7">
        <f t="shared" ca="1" si="6"/>
        <v>2</v>
      </c>
    </row>
    <row r="14" spans="1:27" ht="15" thickBot="1" x14ac:dyDescent="0.4">
      <c r="A14" s="7">
        <v>12</v>
      </c>
      <c r="B14" s="11">
        <f t="shared" ca="1" si="7"/>
        <v>43873</v>
      </c>
      <c r="C14" s="12">
        <f t="shared" ca="1" si="0"/>
        <v>43873</v>
      </c>
      <c r="E14" s="29">
        <v>0.39583333333333331</v>
      </c>
      <c r="F14" s="23"/>
      <c r="G14" s="29">
        <v>0.58333333333333337</v>
      </c>
      <c r="H14" s="15"/>
      <c r="I14" s="29">
        <v>0.63541666666666663</v>
      </c>
      <c r="J14" s="24"/>
      <c r="K14" s="29">
        <v>0.77083333333333337</v>
      </c>
      <c r="L14" s="9"/>
      <c r="M14" s="18">
        <f t="shared" ca="1" si="8"/>
        <v>0.3229166666666668</v>
      </c>
      <c r="N14" s="18">
        <f t="shared" ca="1" si="9"/>
        <v>0.3229166666666668</v>
      </c>
      <c r="O14" s="19">
        <f t="shared" ca="1" si="1"/>
        <v>0</v>
      </c>
      <c r="P14" s="9"/>
      <c r="Q14" s="20"/>
      <c r="R14" s="21" t="s">
        <v>15</v>
      </c>
      <c r="T14" s="22">
        <f t="shared" ca="1" si="10"/>
        <v>465</v>
      </c>
      <c r="U14" s="22">
        <f t="shared" ca="1" si="2"/>
        <v>465</v>
      </c>
      <c r="V14" s="22">
        <f t="shared" ca="1" si="2"/>
        <v>0</v>
      </c>
      <c r="W14" s="7">
        <f t="shared" ca="1" si="11"/>
        <v>4</v>
      </c>
      <c r="X14" s="19">
        <f t="shared" ca="1" si="3"/>
        <v>0.33333333333333331</v>
      </c>
      <c r="Y14" s="7">
        <f t="shared" ca="1" si="4"/>
        <v>0</v>
      </c>
      <c r="Z14" s="7">
        <f t="shared" ca="1" si="5"/>
        <v>0</v>
      </c>
      <c r="AA14" s="7">
        <f t="shared" ca="1" si="6"/>
        <v>2</v>
      </c>
    </row>
    <row r="15" spans="1:27" ht="15" thickBot="1" x14ac:dyDescent="0.4">
      <c r="A15" s="7">
        <v>13</v>
      </c>
      <c r="B15" s="11">
        <f t="shared" ca="1" si="7"/>
        <v>43874</v>
      </c>
      <c r="C15" s="12">
        <f t="shared" ca="1" si="0"/>
        <v>43874</v>
      </c>
      <c r="D15" s="12"/>
      <c r="E15" s="29">
        <v>0.39583333333333331</v>
      </c>
      <c r="F15" s="23"/>
      <c r="G15" s="29">
        <v>0.58333333333333337</v>
      </c>
      <c r="H15" s="15"/>
      <c r="I15" s="29">
        <v>0.63541666666666663</v>
      </c>
      <c r="J15" s="24"/>
      <c r="K15" s="29">
        <v>0.77083333333333337</v>
      </c>
      <c r="L15" s="9"/>
      <c r="M15" s="18">
        <f t="shared" ca="1" si="8"/>
        <v>0.3229166666666668</v>
      </c>
      <c r="N15" s="18">
        <f t="shared" ca="1" si="9"/>
        <v>0.3229166666666668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465</v>
      </c>
      <c r="U15" s="22">
        <f t="shared" ca="1" si="2"/>
        <v>465</v>
      </c>
      <c r="V15" s="22">
        <f t="shared" ca="1" si="2"/>
        <v>0</v>
      </c>
      <c r="W15" s="7">
        <f t="shared" ca="1" si="11"/>
        <v>5</v>
      </c>
      <c r="X15" s="19">
        <f t="shared" ca="1" si="3"/>
        <v>0.33333333333333331</v>
      </c>
      <c r="Y15" s="7">
        <f t="shared" ca="1" si="4"/>
        <v>0</v>
      </c>
      <c r="Z15" s="7">
        <f t="shared" ca="1" si="5"/>
        <v>0</v>
      </c>
      <c r="AA15" s="7">
        <f t="shared" ca="1" si="6"/>
        <v>2</v>
      </c>
    </row>
    <row r="16" spans="1:27" ht="15" thickBot="1" x14ac:dyDescent="0.4">
      <c r="A16" s="7">
        <v>14</v>
      </c>
      <c r="B16" s="11">
        <f t="shared" ca="1" si="7"/>
        <v>43875</v>
      </c>
      <c r="C16" s="12">
        <f t="shared" ca="1" si="0"/>
        <v>43875</v>
      </c>
      <c r="E16" s="29">
        <v>0.375</v>
      </c>
      <c r="F16" s="23"/>
      <c r="G16" s="29">
        <v>0.64583333333333337</v>
      </c>
      <c r="H16" s="15"/>
      <c r="I16" s="29">
        <v>0.625</v>
      </c>
      <c r="J16" s="24"/>
      <c r="K16" s="29">
        <v>0.77083333333333337</v>
      </c>
      <c r="L16" s="9"/>
      <c r="M16" s="18">
        <f t="shared" ca="1" si="8"/>
        <v>0.41666666666666674</v>
      </c>
      <c r="N16" s="18">
        <f t="shared" ca="1" si="9"/>
        <v>0.25</v>
      </c>
      <c r="O16" s="19">
        <f t="shared" ca="1" si="1"/>
        <v>0.16666666666666674</v>
      </c>
      <c r="P16" s="9"/>
      <c r="Q16" s="30"/>
      <c r="R16" s="21" t="s">
        <v>15</v>
      </c>
      <c r="T16" s="22">
        <f t="shared" ca="1" si="10"/>
        <v>600</v>
      </c>
      <c r="U16" s="22">
        <f t="shared" ca="1" si="2"/>
        <v>360</v>
      </c>
      <c r="V16" s="22">
        <f t="shared" ca="1" si="2"/>
        <v>240</v>
      </c>
      <c r="W16" s="7">
        <f t="shared" ca="1" si="11"/>
        <v>6</v>
      </c>
      <c r="X16" s="19">
        <f t="shared" ca="1" si="3"/>
        <v>0.25</v>
      </c>
      <c r="Y16" s="7">
        <f t="shared" ca="1" si="4"/>
        <v>0</v>
      </c>
      <c r="Z16" s="7">
        <f t="shared" ca="1" si="5"/>
        <v>0</v>
      </c>
      <c r="AA16" s="7">
        <f t="shared" ca="1" si="6"/>
        <v>2</v>
      </c>
    </row>
    <row r="17" spans="1:27" ht="15" thickBot="1" x14ac:dyDescent="0.4">
      <c r="A17" s="7">
        <v>15</v>
      </c>
      <c r="B17" s="11">
        <f t="shared" ca="1" si="7"/>
        <v>43876</v>
      </c>
      <c r="C17" s="12">
        <f t="shared" ca="1" si="0"/>
        <v>43876</v>
      </c>
      <c r="D17" s="12"/>
      <c r="E17" s="29">
        <v>0.375</v>
      </c>
      <c r="F17" s="23"/>
      <c r="G17" s="29">
        <v>0.64583333333333337</v>
      </c>
      <c r="H17" s="23"/>
      <c r="I17" s="29">
        <v>0.625</v>
      </c>
      <c r="J17" s="24"/>
      <c r="K17" s="29">
        <v>0.77083333333333337</v>
      </c>
      <c r="L17" s="9"/>
      <c r="M17" s="18">
        <f t="shared" ca="1" si="8"/>
        <v>0</v>
      </c>
      <c r="N17" s="18">
        <f t="shared" ca="1" si="9"/>
        <v>0</v>
      </c>
      <c r="O17" s="19">
        <f t="shared" ca="1" si="1"/>
        <v>0</v>
      </c>
      <c r="P17" s="9"/>
      <c r="Q17" s="30"/>
      <c r="R17" s="21" t="s">
        <v>15</v>
      </c>
      <c r="T17" s="22">
        <f t="shared" ca="1" si="10"/>
        <v>0</v>
      </c>
      <c r="U17" s="22">
        <f t="shared" ca="1" si="2"/>
        <v>0</v>
      </c>
      <c r="V17" s="22">
        <f t="shared" ca="1" si="2"/>
        <v>0</v>
      </c>
      <c r="W17" s="7">
        <f t="shared" ca="1" si="11"/>
        <v>7</v>
      </c>
      <c r="X17" s="19">
        <f t="shared" ca="1" si="3"/>
        <v>0</v>
      </c>
      <c r="Y17" s="7">
        <f t="shared" ca="1" si="4"/>
        <v>0</v>
      </c>
      <c r="Z17" s="7">
        <f t="shared" ca="1" si="5"/>
        <v>1</v>
      </c>
      <c r="AA17" s="7">
        <f t="shared" ca="1" si="6"/>
        <v>2</v>
      </c>
    </row>
    <row r="18" spans="1:27" ht="15" thickBot="1" x14ac:dyDescent="0.4">
      <c r="A18" s="7">
        <v>16</v>
      </c>
      <c r="B18" s="11">
        <f t="shared" ca="1" si="7"/>
        <v>43877</v>
      </c>
      <c r="C18" s="12">
        <f t="shared" ca="1" si="0"/>
        <v>43877</v>
      </c>
      <c r="E18" s="29">
        <v>0.65625</v>
      </c>
      <c r="F18" s="23"/>
      <c r="G18" s="29">
        <v>0.73958333333333337</v>
      </c>
      <c r="H18" s="23"/>
      <c r="I18" s="29">
        <v>0</v>
      </c>
      <c r="J18" s="24"/>
      <c r="K18" s="29">
        <v>0</v>
      </c>
      <c r="L18" s="9"/>
      <c r="M18" s="18">
        <f t="shared" ca="1" si="8"/>
        <v>0</v>
      </c>
      <c r="N18" s="18">
        <f t="shared" ca="1" si="9"/>
        <v>0</v>
      </c>
      <c r="O18" s="19">
        <f t="shared" ca="1" si="1"/>
        <v>0</v>
      </c>
      <c r="P18" s="9"/>
      <c r="Q18" s="30"/>
      <c r="R18" s="21" t="s">
        <v>8</v>
      </c>
      <c r="T18" s="22">
        <f t="shared" ca="1" si="10"/>
        <v>0</v>
      </c>
      <c r="U18" s="22">
        <f t="shared" ca="1" si="2"/>
        <v>0</v>
      </c>
      <c r="V18" s="22">
        <f t="shared" ca="1" si="2"/>
        <v>0</v>
      </c>
      <c r="W18" s="7">
        <f t="shared" ca="1" si="11"/>
        <v>1</v>
      </c>
      <c r="X18" s="19">
        <f t="shared" ca="1" si="3"/>
        <v>0</v>
      </c>
      <c r="Y18" s="7">
        <f t="shared" ca="1" si="4"/>
        <v>0</v>
      </c>
      <c r="Z18" s="7">
        <f t="shared" ca="1" si="5"/>
        <v>1</v>
      </c>
      <c r="AA18" s="7">
        <f t="shared" ca="1" si="6"/>
        <v>2</v>
      </c>
    </row>
    <row r="19" spans="1:27" ht="15" thickBot="1" x14ac:dyDescent="0.4">
      <c r="A19" s="7">
        <v>17</v>
      </c>
      <c r="B19" s="11">
        <f t="shared" ca="1" si="7"/>
        <v>43878</v>
      </c>
      <c r="C19" s="12">
        <f t="shared" ca="1" si="0"/>
        <v>43878</v>
      </c>
      <c r="D19" s="12"/>
      <c r="E19" s="29">
        <v>0.39583333333333331</v>
      </c>
      <c r="F19" s="23"/>
      <c r="G19" s="29">
        <v>0.58333333333333337</v>
      </c>
      <c r="H19" s="15"/>
      <c r="I19" s="29">
        <v>0.63541666666666663</v>
      </c>
      <c r="J19" s="24"/>
      <c r="K19" s="29">
        <v>0.77083333333333337</v>
      </c>
      <c r="L19" s="9"/>
      <c r="M19" s="18">
        <f t="shared" ca="1" si="8"/>
        <v>0.3229166666666668</v>
      </c>
      <c r="N19" s="18">
        <f t="shared" ca="1" si="9"/>
        <v>0.3229166666666668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465</v>
      </c>
      <c r="U19" s="22">
        <f t="shared" ca="1" si="10"/>
        <v>465</v>
      </c>
      <c r="V19" s="22">
        <f t="shared" ca="1" si="10"/>
        <v>0</v>
      </c>
      <c r="W19" s="7">
        <f t="shared" ca="1" si="11"/>
        <v>2</v>
      </c>
      <c r="X19" s="19">
        <f t="shared" ca="1" si="3"/>
        <v>0.33333333333333331</v>
      </c>
      <c r="Y19" s="7">
        <f t="shared" ca="1" si="4"/>
        <v>0</v>
      </c>
      <c r="Z19" s="7">
        <f t="shared" ca="1" si="5"/>
        <v>0</v>
      </c>
      <c r="AA19" s="7">
        <f t="shared" ca="1" si="6"/>
        <v>2</v>
      </c>
    </row>
    <row r="20" spans="1:27" ht="15" thickBot="1" x14ac:dyDescent="0.4">
      <c r="A20" s="7">
        <v>18</v>
      </c>
      <c r="B20" s="11">
        <f t="shared" ca="1" si="7"/>
        <v>43879</v>
      </c>
      <c r="C20" s="12">
        <f t="shared" ca="1" si="0"/>
        <v>43879</v>
      </c>
      <c r="E20" s="29">
        <v>0.39583333333333331</v>
      </c>
      <c r="F20" s="23"/>
      <c r="G20" s="29">
        <v>0.58333333333333337</v>
      </c>
      <c r="H20" s="15"/>
      <c r="I20" s="29">
        <v>0.63541666666666663</v>
      </c>
      <c r="J20" s="24"/>
      <c r="K20" s="29">
        <v>0.77083333333333337</v>
      </c>
      <c r="L20" s="9"/>
      <c r="M20" s="18">
        <f t="shared" ca="1" si="8"/>
        <v>0.3229166666666668</v>
      </c>
      <c r="N20" s="18">
        <f t="shared" ca="1" si="9"/>
        <v>0.3229166666666668</v>
      </c>
      <c r="O20" s="19">
        <f t="shared" ca="1" si="1"/>
        <v>0</v>
      </c>
      <c r="P20" s="9"/>
      <c r="Q20" s="20"/>
      <c r="R20" s="21" t="s">
        <v>15</v>
      </c>
      <c r="T20" s="22">
        <f t="shared" ca="1" si="10"/>
        <v>465</v>
      </c>
      <c r="U20" s="22">
        <f t="shared" ca="1" si="10"/>
        <v>465</v>
      </c>
      <c r="V20" s="22">
        <f t="shared" ca="1" si="10"/>
        <v>0</v>
      </c>
      <c r="W20" s="7">
        <f t="shared" ca="1" si="11"/>
        <v>3</v>
      </c>
      <c r="X20" s="19">
        <f t="shared" ca="1" si="3"/>
        <v>0.33333333333333331</v>
      </c>
      <c r="Y20" s="7">
        <f t="shared" ca="1" si="4"/>
        <v>0</v>
      </c>
      <c r="Z20" s="7">
        <f t="shared" ca="1" si="5"/>
        <v>0</v>
      </c>
      <c r="AA20" s="7">
        <f t="shared" ca="1" si="6"/>
        <v>2</v>
      </c>
    </row>
    <row r="21" spans="1:27" ht="15" thickBot="1" x14ac:dyDescent="0.4">
      <c r="A21" s="7">
        <v>19</v>
      </c>
      <c r="B21" s="11">
        <f t="shared" ca="1" si="7"/>
        <v>43880</v>
      </c>
      <c r="C21" s="12">
        <f t="shared" ca="1" si="0"/>
        <v>43880</v>
      </c>
      <c r="D21" s="12"/>
      <c r="E21" s="29">
        <v>0.39583333333333331</v>
      </c>
      <c r="F21" s="23"/>
      <c r="G21" s="29">
        <v>0.58333333333333337</v>
      </c>
      <c r="H21" s="15"/>
      <c r="I21" s="29">
        <v>0.63541666666666663</v>
      </c>
      <c r="J21" s="24"/>
      <c r="K21" s="29">
        <v>0.77083333333333337</v>
      </c>
      <c r="L21" s="9"/>
      <c r="M21" s="18">
        <f t="shared" ca="1" si="8"/>
        <v>0.3229166666666668</v>
      </c>
      <c r="N21" s="18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0.3229166666666668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465</v>
      </c>
      <c r="U21" s="22">
        <f t="shared" ca="1" si="10"/>
        <v>465</v>
      </c>
      <c r="V21" s="22">
        <f t="shared" ca="1" si="10"/>
        <v>0</v>
      </c>
      <c r="W21" s="7">
        <f t="shared" ca="1" si="11"/>
        <v>4</v>
      </c>
      <c r="X21" s="19">
        <f t="shared" ca="1" si="3"/>
        <v>0.33333333333333331</v>
      </c>
      <c r="Y21" s="7">
        <f t="shared" ca="1" si="4"/>
        <v>0</v>
      </c>
      <c r="Z21" s="7">
        <f t="shared" ca="1" si="5"/>
        <v>0</v>
      </c>
      <c r="AA21" s="7">
        <f t="shared" ca="1" si="6"/>
        <v>2</v>
      </c>
    </row>
    <row r="22" spans="1:27" ht="15" thickBot="1" x14ac:dyDescent="0.4">
      <c r="A22" s="7">
        <v>20</v>
      </c>
      <c r="B22" s="11">
        <f t="shared" ca="1" si="7"/>
        <v>43881</v>
      </c>
      <c r="C22" s="12">
        <f t="shared" ca="1" si="0"/>
        <v>43881</v>
      </c>
      <c r="E22" s="29">
        <v>0.39583333333333331</v>
      </c>
      <c r="F22" s="23"/>
      <c r="G22" s="29">
        <v>0.58333333333333337</v>
      </c>
      <c r="H22" s="15"/>
      <c r="I22" s="29">
        <v>0.63541666666666663</v>
      </c>
      <c r="J22" s="24"/>
      <c r="K22" s="29">
        <v>0.77083333333333337</v>
      </c>
      <c r="L22" s="9"/>
      <c r="M22" s="18">
        <f t="shared" ca="1" si="8"/>
        <v>0.3229166666666668</v>
      </c>
      <c r="N22" s="18">
        <f t="shared" ca="1" si="9"/>
        <v>0.3229166666666668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465</v>
      </c>
      <c r="U22" s="22">
        <f t="shared" ca="1" si="10"/>
        <v>465</v>
      </c>
      <c r="V22" s="22">
        <f t="shared" ca="1" si="10"/>
        <v>0</v>
      </c>
      <c r="W22" s="7">
        <f t="shared" ca="1" si="11"/>
        <v>5</v>
      </c>
      <c r="X22" s="19">
        <f t="shared" ca="1" si="3"/>
        <v>0.33333333333333331</v>
      </c>
      <c r="Y22" s="7">
        <f t="shared" ca="1" si="4"/>
        <v>0</v>
      </c>
      <c r="Z22" s="7">
        <f t="shared" ca="1" si="5"/>
        <v>0</v>
      </c>
      <c r="AA22" s="7">
        <f t="shared" ca="1" si="6"/>
        <v>2</v>
      </c>
    </row>
    <row r="23" spans="1:27" ht="15" thickBot="1" x14ac:dyDescent="0.4">
      <c r="A23" s="7">
        <v>21</v>
      </c>
      <c r="B23" s="11">
        <f t="shared" ca="1" si="7"/>
        <v>43882</v>
      </c>
      <c r="C23" s="12">
        <f t="shared" ca="1" si="0"/>
        <v>43882</v>
      </c>
      <c r="D23" s="12"/>
      <c r="E23" s="29">
        <v>0.375</v>
      </c>
      <c r="F23" s="23"/>
      <c r="G23" s="29">
        <v>0.64583333333333337</v>
      </c>
      <c r="H23" s="15"/>
      <c r="I23" s="29">
        <v>0.625</v>
      </c>
      <c r="J23" s="24"/>
      <c r="K23" s="29">
        <v>0.77083333333333337</v>
      </c>
      <c r="L23" s="9"/>
      <c r="M23" s="18">
        <f t="shared" ca="1" si="8"/>
        <v>0.41666666666666674</v>
      </c>
      <c r="N23" s="18">
        <f t="shared" ca="1" si="9"/>
        <v>0.25</v>
      </c>
      <c r="O23" s="19">
        <f t="shared" ca="1" si="1"/>
        <v>0.16666666666666674</v>
      </c>
      <c r="P23" s="9"/>
      <c r="Q23" s="30"/>
      <c r="R23" s="21" t="s">
        <v>15</v>
      </c>
      <c r="T23" s="22">
        <f t="shared" ca="1" si="10"/>
        <v>600</v>
      </c>
      <c r="U23" s="22">
        <f t="shared" ca="1" si="10"/>
        <v>360</v>
      </c>
      <c r="V23" s="22">
        <f t="shared" ca="1" si="10"/>
        <v>240</v>
      </c>
      <c r="W23" s="7">
        <f t="shared" ca="1" si="11"/>
        <v>6</v>
      </c>
      <c r="X23" s="19">
        <f t="shared" ca="1" si="3"/>
        <v>0.25</v>
      </c>
      <c r="Y23" s="7">
        <f t="shared" ca="1" si="4"/>
        <v>0</v>
      </c>
      <c r="Z23" s="7">
        <f t="shared" ca="1" si="5"/>
        <v>0</v>
      </c>
      <c r="AA23" s="7">
        <f t="shared" ca="1" si="6"/>
        <v>2</v>
      </c>
    </row>
    <row r="24" spans="1:27" ht="15" thickBot="1" x14ac:dyDescent="0.4">
      <c r="A24" s="7">
        <v>22</v>
      </c>
      <c r="B24" s="11">
        <f t="shared" ca="1" si="7"/>
        <v>43883</v>
      </c>
      <c r="C24" s="12">
        <f t="shared" ca="1" si="0"/>
        <v>43883</v>
      </c>
      <c r="E24" s="29">
        <v>0.375</v>
      </c>
      <c r="F24" s="23"/>
      <c r="G24" s="29">
        <v>0.64583333333333337</v>
      </c>
      <c r="H24" s="15"/>
      <c r="I24" s="29">
        <v>0.625</v>
      </c>
      <c r="J24" s="24"/>
      <c r="K24" s="29">
        <v>0.77083333333333337</v>
      </c>
      <c r="L24" s="9"/>
      <c r="M24" s="18">
        <f t="shared" ca="1" si="8"/>
        <v>0</v>
      </c>
      <c r="N24" s="18">
        <f t="shared" ca="1" si="9"/>
        <v>0</v>
      </c>
      <c r="O24" s="19">
        <f t="shared" ca="1" si="1"/>
        <v>0</v>
      </c>
      <c r="P24" s="9"/>
      <c r="Q24" s="30"/>
      <c r="R24" s="21" t="s">
        <v>15</v>
      </c>
      <c r="T24" s="22">
        <f t="shared" ca="1" si="10"/>
        <v>0</v>
      </c>
      <c r="U24" s="22">
        <f t="shared" ca="1" si="10"/>
        <v>0</v>
      </c>
      <c r="V24" s="22">
        <f t="shared" ca="1" si="10"/>
        <v>0</v>
      </c>
      <c r="W24" s="7">
        <f t="shared" ca="1" si="11"/>
        <v>7</v>
      </c>
      <c r="X24" s="19">
        <f t="shared" ca="1" si="3"/>
        <v>0</v>
      </c>
      <c r="Y24" s="7">
        <f t="shared" ca="1" si="4"/>
        <v>0</v>
      </c>
      <c r="Z24" s="7">
        <f t="shared" ca="1" si="5"/>
        <v>1</v>
      </c>
      <c r="AA24" s="7">
        <f t="shared" ca="1" si="6"/>
        <v>2</v>
      </c>
    </row>
    <row r="25" spans="1:27" ht="15" thickBot="1" x14ac:dyDescent="0.4">
      <c r="A25" s="7">
        <v>23</v>
      </c>
      <c r="B25" s="11">
        <f t="shared" ca="1" si="7"/>
        <v>43884</v>
      </c>
      <c r="C25" s="12">
        <f t="shared" ca="1" si="0"/>
        <v>43884</v>
      </c>
      <c r="D25" s="12"/>
      <c r="E25" s="29">
        <v>0.375</v>
      </c>
      <c r="F25" s="23"/>
      <c r="G25" s="29">
        <v>0.64583333333333337</v>
      </c>
      <c r="H25" s="23"/>
      <c r="I25" s="29">
        <v>0.625</v>
      </c>
      <c r="J25" s="24"/>
      <c r="K25" s="29">
        <v>0.77083333333333337</v>
      </c>
      <c r="L25" s="9"/>
      <c r="M25" s="18">
        <f t="shared" ca="1" si="8"/>
        <v>0</v>
      </c>
      <c r="N25" s="18">
        <f t="shared" ca="1" si="9"/>
        <v>0</v>
      </c>
      <c r="O25" s="19">
        <f t="shared" ca="1" si="1"/>
        <v>0</v>
      </c>
      <c r="P25" s="9"/>
      <c r="Q25" s="30"/>
      <c r="R25" s="21" t="s">
        <v>15</v>
      </c>
      <c r="T25" s="22">
        <f t="shared" ca="1" si="10"/>
        <v>0</v>
      </c>
      <c r="U25" s="22">
        <f t="shared" ca="1" si="10"/>
        <v>0</v>
      </c>
      <c r="V25" s="22">
        <f t="shared" ca="1" si="10"/>
        <v>0</v>
      </c>
      <c r="W25" s="7">
        <f t="shared" ca="1" si="11"/>
        <v>1</v>
      </c>
      <c r="X25" s="19">
        <f t="shared" ca="1" si="3"/>
        <v>0</v>
      </c>
      <c r="Y25" s="7">
        <f t="shared" ca="1" si="4"/>
        <v>0</v>
      </c>
      <c r="Z25" s="7">
        <f t="shared" ca="1" si="5"/>
        <v>1</v>
      </c>
      <c r="AA25" s="7">
        <f t="shared" ca="1" si="6"/>
        <v>2</v>
      </c>
    </row>
    <row r="26" spans="1:27" ht="15" thickBot="1" x14ac:dyDescent="0.4">
      <c r="A26" s="7">
        <v>24</v>
      </c>
      <c r="B26" s="11">
        <f t="shared" ca="1" si="7"/>
        <v>43885</v>
      </c>
      <c r="C26" s="12">
        <f t="shared" ca="1" si="0"/>
        <v>43885</v>
      </c>
      <c r="E26" s="29">
        <v>0.39583333333333331</v>
      </c>
      <c r="F26" s="23"/>
      <c r="G26" s="29">
        <v>0.58333333333333337</v>
      </c>
      <c r="H26" s="23"/>
      <c r="I26" s="29">
        <v>0.63541666666666663</v>
      </c>
      <c r="J26" s="24"/>
      <c r="K26" s="29">
        <v>0.77083333333333337</v>
      </c>
      <c r="L26" s="9"/>
      <c r="M26" s="18">
        <f t="shared" ca="1" si="8"/>
        <v>0.3229166666666668</v>
      </c>
      <c r="N26" s="18">
        <f t="shared" ca="1" si="9"/>
        <v>0.3229166666666668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465</v>
      </c>
      <c r="U26" s="22">
        <f t="shared" ca="1" si="10"/>
        <v>465</v>
      </c>
      <c r="V26" s="22">
        <f t="shared" ca="1" si="10"/>
        <v>0</v>
      </c>
      <c r="W26" s="7">
        <f t="shared" ca="1" si="11"/>
        <v>2</v>
      </c>
      <c r="X26" s="19">
        <f t="shared" ca="1" si="3"/>
        <v>0.33333333333333331</v>
      </c>
      <c r="Y26" s="7">
        <f t="shared" ca="1" si="4"/>
        <v>0</v>
      </c>
      <c r="Z26" s="7">
        <f t="shared" ca="1" si="5"/>
        <v>0</v>
      </c>
      <c r="AA26" s="7">
        <f t="shared" ca="1" si="6"/>
        <v>2</v>
      </c>
    </row>
    <row r="27" spans="1:27" ht="15" thickBot="1" x14ac:dyDescent="0.4">
      <c r="A27" s="7">
        <v>25</v>
      </c>
      <c r="B27" s="11">
        <f t="shared" ca="1" si="7"/>
        <v>43886</v>
      </c>
      <c r="C27" s="12">
        <f t="shared" ca="1" si="0"/>
        <v>43886</v>
      </c>
      <c r="D27" s="12"/>
      <c r="E27" s="29">
        <v>0.39583333333333331</v>
      </c>
      <c r="F27" s="23"/>
      <c r="G27" s="29">
        <v>0.58333333333333337</v>
      </c>
      <c r="H27" s="15"/>
      <c r="I27" s="29">
        <v>0.63541666666666663</v>
      </c>
      <c r="J27" s="24"/>
      <c r="K27" s="29">
        <v>0.77083333333333337</v>
      </c>
      <c r="L27" s="9"/>
      <c r="M27" s="18">
        <f t="shared" ca="1" si="8"/>
        <v>0.3229166666666668</v>
      </c>
      <c r="N27" s="18">
        <f t="shared" ca="1" si="9"/>
        <v>0.3229166666666668</v>
      </c>
      <c r="O27" s="19">
        <f t="shared" ca="1" si="1"/>
        <v>0</v>
      </c>
      <c r="P27" s="9"/>
      <c r="Q27" s="20"/>
      <c r="R27" s="21" t="s">
        <v>15</v>
      </c>
      <c r="T27" s="22">
        <f t="shared" ca="1" si="10"/>
        <v>465</v>
      </c>
      <c r="U27" s="22">
        <f t="shared" ca="1" si="10"/>
        <v>465</v>
      </c>
      <c r="V27" s="22">
        <f t="shared" ca="1" si="10"/>
        <v>0</v>
      </c>
      <c r="W27" s="7">
        <f t="shared" ca="1" si="11"/>
        <v>3</v>
      </c>
      <c r="X27" s="19">
        <f t="shared" ca="1" si="3"/>
        <v>0.33333333333333331</v>
      </c>
      <c r="Y27" s="7">
        <f t="shared" ref="Y27:Y33" ca="1" si="12">IF(IFERROR(VLOOKUP(C27,DiasIntensiva,1,FALSE),0)&lt;&gt;0,1,0)</f>
        <v>0</v>
      </c>
      <c r="Z27" s="7">
        <f t="shared" ref="Z27:Z33" ca="1" si="13">IF(OR(W27=7,W27=1,IFERROR(VLOOKUP(C27,DiasVacaciones,1,FALSE),0)&lt;&gt;0),1,0)</f>
        <v>0</v>
      </c>
      <c r="AA27" s="7">
        <f t="shared" ref="AA27:AA33" ca="1" si="14">MONTH(C27)</f>
        <v>2</v>
      </c>
    </row>
    <row r="28" spans="1:27" ht="15" thickBot="1" x14ac:dyDescent="0.4">
      <c r="A28" s="7">
        <v>26</v>
      </c>
      <c r="B28" s="11">
        <f t="shared" ca="1" si="7"/>
        <v>43887</v>
      </c>
      <c r="C28" s="12">
        <f t="shared" ca="1" si="0"/>
        <v>43887</v>
      </c>
      <c r="E28" s="29">
        <v>0.39583333333333331</v>
      </c>
      <c r="F28" s="23"/>
      <c r="G28" s="29">
        <v>0.58333333333333337</v>
      </c>
      <c r="H28" s="15"/>
      <c r="I28" s="29">
        <v>0.63541666666666663</v>
      </c>
      <c r="J28" s="24"/>
      <c r="K28" s="29">
        <v>0.77083333333333337</v>
      </c>
      <c r="L28" s="9"/>
      <c r="M28" s="18">
        <f t="shared" ca="1" si="8"/>
        <v>0.3229166666666668</v>
      </c>
      <c r="N28" s="18">
        <f t="shared" ca="1" si="9"/>
        <v>0.3229166666666668</v>
      </c>
      <c r="O28" s="19">
        <f t="shared" ca="1" si="1"/>
        <v>0</v>
      </c>
      <c r="P28" s="9"/>
      <c r="Q28" s="20"/>
      <c r="R28" s="21" t="s">
        <v>15</v>
      </c>
      <c r="T28" s="22">
        <f t="shared" ca="1" si="10"/>
        <v>465</v>
      </c>
      <c r="U28" s="22">
        <f t="shared" ca="1" si="10"/>
        <v>465</v>
      </c>
      <c r="V28" s="22">
        <f t="shared" ca="1" si="10"/>
        <v>0</v>
      </c>
      <c r="W28" s="7">
        <f t="shared" ca="1" si="11"/>
        <v>4</v>
      </c>
      <c r="X28" s="19">
        <f t="shared" ca="1" si="3"/>
        <v>0.33333333333333331</v>
      </c>
      <c r="Y28" s="7">
        <f t="shared" ca="1" si="12"/>
        <v>0</v>
      </c>
      <c r="Z28" s="7">
        <f t="shared" ca="1" si="13"/>
        <v>0</v>
      </c>
      <c r="AA28" s="7">
        <f t="shared" ca="1" si="14"/>
        <v>2</v>
      </c>
    </row>
    <row r="29" spans="1:27" ht="15" thickBot="1" x14ac:dyDescent="0.4">
      <c r="A29" s="7">
        <v>27</v>
      </c>
      <c r="B29" s="11">
        <f t="shared" ca="1" si="7"/>
        <v>43888</v>
      </c>
      <c r="C29" s="12">
        <f t="shared" ca="1" si="0"/>
        <v>43888</v>
      </c>
      <c r="D29" s="12"/>
      <c r="E29" s="29">
        <v>0.39583333333333331</v>
      </c>
      <c r="F29" s="23"/>
      <c r="G29" s="29">
        <v>0.58333333333333337</v>
      </c>
      <c r="H29" s="15"/>
      <c r="I29" s="29">
        <v>0.63541666666666663</v>
      </c>
      <c r="J29" s="24"/>
      <c r="K29" s="29">
        <v>0.77083333333333337</v>
      </c>
      <c r="L29" s="9"/>
      <c r="M29" s="18">
        <f t="shared" ca="1" si="8"/>
        <v>0.3229166666666668</v>
      </c>
      <c r="N29" s="18">
        <f t="shared" ca="1" si="9"/>
        <v>0.3229166666666668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465</v>
      </c>
      <c r="U29" s="22">
        <f t="shared" ca="1" si="10"/>
        <v>465</v>
      </c>
      <c r="V29" s="22">
        <f t="shared" ca="1" si="10"/>
        <v>0</v>
      </c>
      <c r="W29" s="7">
        <f t="shared" ca="1" si="11"/>
        <v>5</v>
      </c>
      <c r="X29" s="19">
        <f t="shared" ca="1" si="3"/>
        <v>0.33333333333333331</v>
      </c>
      <c r="Y29" s="7">
        <f t="shared" ca="1" si="12"/>
        <v>0</v>
      </c>
      <c r="Z29" s="7">
        <f t="shared" ca="1" si="13"/>
        <v>0</v>
      </c>
      <c r="AA29" s="7">
        <f t="shared" ca="1" si="14"/>
        <v>2</v>
      </c>
    </row>
    <row r="30" spans="1:27" ht="15" thickBot="1" x14ac:dyDescent="0.4">
      <c r="A30" s="7">
        <v>28</v>
      </c>
      <c r="B30" s="11">
        <f t="shared" ca="1" si="7"/>
        <v>43889</v>
      </c>
      <c r="C30" s="12">
        <f t="shared" ca="1" si="0"/>
        <v>43889</v>
      </c>
      <c r="E30" s="29">
        <v>0.375</v>
      </c>
      <c r="F30" s="23"/>
      <c r="G30" s="29">
        <v>0.64583333333333337</v>
      </c>
      <c r="H30" s="15"/>
      <c r="I30" s="29">
        <v>0.625</v>
      </c>
      <c r="J30" s="24"/>
      <c r="K30" s="29">
        <v>0.77083333333333337</v>
      </c>
      <c r="L30" s="9"/>
      <c r="M30" s="18">
        <f t="shared" ca="1" si="8"/>
        <v>0.41666666666666674</v>
      </c>
      <c r="N30" s="18">
        <f t="shared" ca="1" si="9"/>
        <v>0.25</v>
      </c>
      <c r="O30" s="19">
        <f t="shared" ca="1" si="1"/>
        <v>0.16666666666666674</v>
      </c>
      <c r="P30" s="9"/>
      <c r="Q30" s="30"/>
      <c r="R30" s="21" t="s">
        <v>15</v>
      </c>
      <c r="T30" s="22">
        <f t="shared" ca="1" si="10"/>
        <v>600</v>
      </c>
      <c r="U30" s="22">
        <f t="shared" ca="1" si="10"/>
        <v>360</v>
      </c>
      <c r="V30" s="22">
        <f t="shared" ca="1" si="10"/>
        <v>240</v>
      </c>
      <c r="W30" s="7">
        <f t="shared" ca="1" si="11"/>
        <v>6</v>
      </c>
      <c r="X30" s="19">
        <f t="shared" ca="1" si="3"/>
        <v>0.25</v>
      </c>
      <c r="Y30" s="7">
        <f t="shared" ca="1" si="12"/>
        <v>0</v>
      </c>
      <c r="Z30" s="7">
        <f t="shared" ca="1" si="13"/>
        <v>0</v>
      </c>
      <c r="AA30" s="7">
        <f t="shared" ca="1" si="14"/>
        <v>2</v>
      </c>
    </row>
    <row r="31" spans="1:27" ht="15" thickBot="1" x14ac:dyDescent="0.4">
      <c r="A31" s="7">
        <v>29</v>
      </c>
      <c r="B31" s="11">
        <f t="shared" ca="1" si="7"/>
        <v>43890</v>
      </c>
      <c r="C31" s="12">
        <f t="shared" ca="1" si="0"/>
        <v>43890</v>
      </c>
      <c r="D31" s="12"/>
      <c r="E31" s="29">
        <v>0.375</v>
      </c>
      <c r="F31" s="23"/>
      <c r="G31" s="29">
        <v>0.64583333333333337</v>
      </c>
      <c r="H31" s="15"/>
      <c r="I31" s="29">
        <v>0.625</v>
      </c>
      <c r="J31" s="24"/>
      <c r="K31" s="29">
        <v>0.77083333333333337</v>
      </c>
      <c r="L31" s="9"/>
      <c r="M31" s="18">
        <f t="shared" ca="1" si="8"/>
        <v>0</v>
      </c>
      <c r="N31" s="18">
        <f t="shared" ca="1" si="9"/>
        <v>0</v>
      </c>
      <c r="O31" s="19">
        <f t="shared" ca="1" si="1"/>
        <v>0</v>
      </c>
      <c r="P31" s="9"/>
      <c r="Q31" s="30"/>
      <c r="R31" s="21" t="s">
        <v>15</v>
      </c>
      <c r="T31" s="22">
        <f t="shared" ca="1" si="10"/>
        <v>0</v>
      </c>
      <c r="U31" s="22">
        <f t="shared" ca="1" si="10"/>
        <v>0</v>
      </c>
      <c r="V31" s="22">
        <f t="shared" ca="1" si="10"/>
        <v>0</v>
      </c>
      <c r="W31" s="7">
        <f t="shared" ca="1" si="11"/>
        <v>7</v>
      </c>
      <c r="X31" s="19">
        <f t="shared" ca="1" si="3"/>
        <v>0</v>
      </c>
      <c r="Y31" s="7">
        <f t="shared" ca="1" si="12"/>
        <v>0</v>
      </c>
      <c r="Z31" s="7">
        <f t="shared" ca="1" si="13"/>
        <v>1</v>
      </c>
      <c r="AA31" s="7">
        <f t="shared" ca="1" si="14"/>
        <v>2</v>
      </c>
    </row>
    <row r="32" spans="1:27" ht="15" thickBot="1" x14ac:dyDescent="0.4">
      <c r="A32" s="7">
        <v>30</v>
      </c>
      <c r="B32" s="11">
        <f t="shared" ca="1" si="7"/>
        <v>43891</v>
      </c>
      <c r="C32" s="12">
        <f t="shared" ca="1" si="0"/>
        <v>43891</v>
      </c>
      <c r="E32" s="29">
        <v>0.375</v>
      </c>
      <c r="F32" s="23"/>
      <c r="G32" s="29">
        <v>0.64583333333333337</v>
      </c>
      <c r="H32" s="15"/>
      <c r="I32" s="29">
        <v>0.625</v>
      </c>
      <c r="J32" s="24"/>
      <c r="K32" s="29">
        <v>0.77083333333333337</v>
      </c>
      <c r="L32" s="9"/>
      <c r="M32" s="18">
        <f t="shared" ca="1" si="8"/>
        <v>0</v>
      </c>
      <c r="N32" s="18">
        <f t="shared" ca="1" si="9"/>
        <v>0</v>
      </c>
      <c r="O32" s="19">
        <f t="shared" ca="1" si="1"/>
        <v>0</v>
      </c>
      <c r="P32" s="9"/>
      <c r="Q32" s="30"/>
      <c r="R32" s="21" t="s">
        <v>15</v>
      </c>
      <c r="T32" s="22">
        <f t="shared" ca="1" si="10"/>
        <v>0</v>
      </c>
      <c r="U32" s="22">
        <f t="shared" ca="1" si="10"/>
        <v>0</v>
      </c>
      <c r="V32" s="22">
        <f t="shared" ca="1" si="10"/>
        <v>0</v>
      </c>
      <c r="W32" s="7">
        <f t="shared" ca="1" si="11"/>
        <v>1</v>
      </c>
      <c r="X32" s="19">
        <f t="shared" ca="1" si="3"/>
        <v>0</v>
      </c>
      <c r="Y32" s="7">
        <f t="shared" ca="1" si="12"/>
        <v>0</v>
      </c>
      <c r="Z32" s="7">
        <f t="shared" ca="1" si="13"/>
        <v>1</v>
      </c>
      <c r="AA32" s="7">
        <f t="shared" ca="1" si="14"/>
        <v>3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43892</v>
      </c>
      <c r="E33" s="29">
        <v>0.375</v>
      </c>
      <c r="F33" s="23"/>
      <c r="G33" s="29">
        <v>0.64583333333333337</v>
      </c>
      <c r="I33" s="29" t="s">
        <v>44</v>
      </c>
      <c r="J33" s="24"/>
      <c r="K33" s="29">
        <v>0</v>
      </c>
      <c r="L33" s="9"/>
      <c r="M33" s="18">
        <f t="shared" ca="1" si="8"/>
        <v>0</v>
      </c>
      <c r="N33" s="18">
        <f t="shared" ca="1" si="9"/>
        <v>0</v>
      </c>
      <c r="O33" s="19">
        <f t="shared" ca="1" si="1"/>
        <v>0</v>
      </c>
      <c r="P33" s="9"/>
      <c r="Q33" s="20"/>
      <c r="R33" s="21" t="s">
        <v>15</v>
      </c>
      <c r="T33" s="22">
        <f t="shared" ca="1" si="10"/>
        <v>0</v>
      </c>
      <c r="U33" s="22">
        <f t="shared" ca="1" si="10"/>
        <v>0</v>
      </c>
      <c r="V33" s="22">
        <f t="shared" ca="1" si="10"/>
        <v>0</v>
      </c>
      <c r="W33" s="7">
        <f t="shared" ca="1" si="11"/>
        <v>2</v>
      </c>
      <c r="X33" s="19">
        <f t="shared" ca="1" si="3"/>
        <v>0.33333333333333331</v>
      </c>
      <c r="Y33" s="7">
        <f t="shared" ca="1" si="12"/>
        <v>0</v>
      </c>
      <c r="Z33" s="7">
        <f t="shared" ca="1" si="13"/>
        <v>0</v>
      </c>
      <c r="AA33" s="7">
        <f t="shared" ca="1" si="14"/>
        <v>3</v>
      </c>
    </row>
    <row r="34" spans="1:27" ht="15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164</v>
      </c>
      <c r="N35" s="27">
        <f ca="1">SUM(U3:U33)/60</f>
        <v>148</v>
      </c>
      <c r="O35" s="27">
        <f ca="1">SUM(V3:V33)/60</f>
        <v>16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u8cMOqsEgql5ESf4mnf96IfU5NEsNsEDkTjoHbPoqqp9J8TByfhlLCNsoS00QDfn4n4bsRCgMPLl3bnZZthDxQ==" saltValue="outYvLS3NigGJgFTZIAG7A==" spinCount="100000" sheet="1" objects="1" scenarios="1"/>
  <mergeCells count="1">
    <mergeCell ref="B1:C1"/>
  </mergeCells>
  <conditionalFormatting sqref="G3:G33 E3:E33">
    <cfRule type="expression" dxfId="15" priority="5">
      <formula>VALUE(SUBSTITUTE($G3,":",""))&lt;VALUE(SUBSTITUTE($E3,":",""))</formula>
    </cfRule>
  </conditionalFormatting>
  <conditionalFormatting sqref="I3:I33 K3:K33">
    <cfRule type="expression" dxfId="14" priority="9">
      <formula>($K3-$I3)&lt;0</formula>
    </cfRule>
  </conditionalFormatting>
  <conditionalFormatting sqref="O3:O33">
    <cfRule type="cellIs" dxfId="13" priority="8" operator="greaterThan">
      <formula>0.1</formula>
    </cfRule>
    <cfRule type="expression" dxfId="12" priority="15">
      <formula>$R3="Fecha cerrada"</formula>
    </cfRule>
  </conditionalFormatting>
  <conditionalFormatting sqref="N3:N33">
    <cfRule type="expression" dxfId="11" priority="14">
      <formula>VALUE(SUBSTITUTE($G3,":",""))&lt;VALUE(SUBSTITUTE($E3,":",""))</formula>
    </cfRule>
  </conditionalFormatting>
  <conditionalFormatting sqref="N3:N33">
    <cfRule type="expression" dxfId="10" priority="13">
      <formula>$R3="Fecha cerrada"</formula>
    </cfRule>
  </conditionalFormatting>
  <conditionalFormatting sqref="X3:X33">
    <cfRule type="expression" dxfId="9" priority="12">
      <formula>VALUE(SUBSTITUTE($G3,":",""))&lt;VALUE(SUBSTITUTE($E3,":",""))</formula>
    </cfRule>
  </conditionalFormatting>
  <conditionalFormatting sqref="X3:X33">
    <cfRule type="expression" dxfId="8" priority="11">
      <formula>$R3="Fecha cerrada"</formula>
    </cfRule>
  </conditionalFormatting>
  <conditionalFormatting sqref="Q3:R33 E3:K17 E18:H32 I18:K33 N3:O33 E33:G33">
    <cfRule type="expression" dxfId="7" priority="1">
      <formula>OR($W3=1,$W3=7,$AA3&lt;&gt;_xlfn.SHEET($A$1),,IFERROR(VLOOKUP($C3,DiasVacaciones,1,FALSE+$O$14:$Q$14),0)&lt;&gt;0)</formula>
    </cfRule>
  </conditionalFormatting>
  <conditionalFormatting sqref="R3:R33">
    <cfRule type="cellIs" dxfId="6" priority="6" operator="equal">
      <formula>"Confirmar Fecha"</formula>
    </cfRule>
    <cfRule type="cellIs" dxfId="5" priority="7" operator="equal">
      <formula>"Confirmada"</formula>
    </cfRule>
  </conditionalFormatting>
  <conditionalFormatting sqref="M3:M33">
    <cfRule type="expression" dxfId="4" priority="4">
      <formula>VALUE(SUBSTITUTE($G3,":",""))&lt;VALUE(SUBSTITUTE($E3,":",""))</formula>
    </cfRule>
  </conditionalFormatting>
  <conditionalFormatting sqref="M3:M33">
    <cfRule type="expression" dxfId="3" priority="3">
      <formula>$R3="Fecha cerrada"</formula>
    </cfRule>
  </conditionalFormatting>
  <conditionalFormatting sqref="M3:M33">
    <cfRule type="expression" dxfId="2" priority="2">
      <formula>OR($W3=1,$W3=7,$Z3=1,$AA3&lt;&gt;_xlfn.SHEET($A$1))</formula>
    </cfRule>
  </conditionalFormatting>
  <conditionalFormatting sqref="I3:I33 K3:K33 E3:E33 G3:G33">
    <cfRule type="expression" dxfId="1" priority="10">
      <formula>$R3="Confirmada"</formula>
    </cfRule>
    <cfRule type="expression" dxfId="0" priority="16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G3:G33 I3:I33 K3:K33 E3:E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A39"/>
  <sheetViews>
    <sheetView showGridLines="0" workbookViewId="0">
      <selection activeCell="K33" sqref="K3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customWidth="1"/>
    <col min="20" max="20" width="6.26953125" style="7" hidden="1" customWidth="1"/>
    <col min="21" max="21" width="7.90625" style="7" hidden="1" customWidth="1"/>
    <col min="22" max="22" width="7.36328125" style="7" hidden="1" customWidth="1"/>
    <col min="23" max="24" width="10.90625" style="7" hidden="1" customWidth="1"/>
    <col min="25" max="25" width="11.1796875" style="7" hidden="1" customWidth="1"/>
    <col min="26" max="27" width="0" style="7" hidden="1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43891</v>
      </c>
      <c r="C3" s="12">
        <f t="shared" ref="C3:C33" ca="1" si="0">DATE(Anualidad,_xlfn.SHEET(B1),A3)</f>
        <v>43891</v>
      </c>
      <c r="D3" s="12"/>
      <c r="E3" s="13">
        <v>0.82291666666666663</v>
      </c>
      <c r="F3" s="14"/>
      <c r="G3" s="13" t="s">
        <v>39</v>
      </c>
      <c r="H3" s="15"/>
      <c r="I3" s="29" t="s">
        <v>38</v>
      </c>
      <c r="J3" s="17"/>
      <c r="K3" s="16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8</v>
      </c>
      <c r="T3" s="22">
        <f ca="1">MINUTE(M3)+(HOUR(M3)*60)</f>
        <v>0</v>
      </c>
      <c r="U3" s="22">
        <f t="shared" ref="U3:V18" ca="1" si="2">MINUTE(N3)+(HOUR(N3)*60)</f>
        <v>0</v>
      </c>
      <c r="V3" s="22">
        <f t="shared" ca="1" si="2"/>
        <v>0</v>
      </c>
      <c r="W3" s="7">
        <f ca="1">WEEKDAY(C3)</f>
        <v>1</v>
      </c>
      <c r="X3" s="19">
        <f t="shared" ref="X3:X33" ca="1" si="3">IF(AND(W3&lt;&gt;7,W3&lt;&gt;1),IF(W3=DiaSemanaIntensiva,HorasIntensiva,HorasOrdinarias),0)</f>
        <v>0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1</v>
      </c>
      <c r="AA3" s="7">
        <f t="shared" ref="AA3:AA33" ca="1" si="6">MONTH(C3)</f>
        <v>3</v>
      </c>
    </row>
    <row r="4" spans="1:27" ht="15" thickBot="1" x14ac:dyDescent="0.4">
      <c r="A4" s="7">
        <v>2</v>
      </c>
      <c r="B4" s="11">
        <f t="shared" ref="B4:B32" ca="1" si="7">C4</f>
        <v>43892</v>
      </c>
      <c r="C4" s="12">
        <f t="shared" ca="1" si="0"/>
        <v>43892</v>
      </c>
      <c r="E4" s="29">
        <v>0.41666666666666669</v>
      </c>
      <c r="F4" s="23"/>
      <c r="G4" s="29">
        <v>0.71875</v>
      </c>
      <c r="H4" s="15"/>
      <c r="I4" s="29">
        <v>0.67708333333333337</v>
      </c>
      <c r="J4" s="24"/>
      <c r="K4" s="29">
        <v>0.79166666666666663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0.41666666666666657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0.33333333333333331</v>
      </c>
      <c r="O4" s="19">
        <f t="shared" ca="1" si="1"/>
        <v>8.3333333333333259E-2</v>
      </c>
      <c r="P4" s="9"/>
      <c r="Q4" s="30"/>
      <c r="R4" s="21" t="s">
        <v>8</v>
      </c>
      <c r="T4" s="22">
        <f t="shared" ref="T4:V33" ca="1" si="10">MINUTE(M4)+(HOUR(M4)*60)</f>
        <v>600</v>
      </c>
      <c r="U4" s="22">
        <f t="shared" ca="1" si="2"/>
        <v>480</v>
      </c>
      <c r="V4" s="22">
        <f t="shared" ca="1" si="2"/>
        <v>120</v>
      </c>
      <c r="W4" s="7">
        <f t="shared" ref="W4:W33" ca="1" si="11">WEEKDAY(C4)</f>
        <v>2</v>
      </c>
      <c r="X4" s="19">
        <f t="shared" ca="1" si="3"/>
        <v>0.33333333333333331</v>
      </c>
      <c r="Y4" s="7">
        <f t="shared" ca="1" si="4"/>
        <v>0</v>
      </c>
      <c r="Z4" s="7">
        <f t="shared" ca="1" si="5"/>
        <v>0</v>
      </c>
      <c r="AA4" s="7">
        <f t="shared" ca="1" si="6"/>
        <v>3</v>
      </c>
    </row>
    <row r="5" spans="1:27" ht="15" thickBot="1" x14ac:dyDescent="0.4">
      <c r="A5" s="7">
        <v>3</v>
      </c>
      <c r="B5" s="11">
        <f t="shared" ca="1" si="7"/>
        <v>43893</v>
      </c>
      <c r="C5" s="12">
        <f t="shared" ca="1" si="0"/>
        <v>43893</v>
      </c>
      <c r="D5" s="12"/>
      <c r="E5" s="29">
        <v>0.39583333333333331</v>
      </c>
      <c r="F5" s="23"/>
      <c r="G5" s="29">
        <v>0.58333333333333337</v>
      </c>
      <c r="H5" s="15"/>
      <c r="I5" s="29">
        <v>0.63541666666666663</v>
      </c>
      <c r="J5" s="24"/>
      <c r="K5" s="29">
        <v>0.77083333333333337</v>
      </c>
      <c r="L5" s="9"/>
      <c r="M5" s="18">
        <f t="shared" ca="1" si="8"/>
        <v>0.3229166666666668</v>
      </c>
      <c r="N5" s="18">
        <f t="shared" ca="1" si="9"/>
        <v>0.3229166666666668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465</v>
      </c>
      <c r="U5" s="22">
        <f t="shared" ca="1" si="2"/>
        <v>465</v>
      </c>
      <c r="V5" s="22">
        <f t="shared" ca="1" si="2"/>
        <v>0</v>
      </c>
      <c r="W5" s="7">
        <f t="shared" ca="1" si="11"/>
        <v>3</v>
      </c>
      <c r="X5" s="19">
        <f t="shared" ca="1" si="3"/>
        <v>0.33333333333333331</v>
      </c>
      <c r="Y5" s="7">
        <f t="shared" ca="1" si="4"/>
        <v>0</v>
      </c>
      <c r="Z5" s="7">
        <f t="shared" ca="1" si="5"/>
        <v>0</v>
      </c>
      <c r="AA5" s="7">
        <f t="shared" ca="1" si="6"/>
        <v>3</v>
      </c>
    </row>
    <row r="6" spans="1:27" ht="15" thickBot="1" x14ac:dyDescent="0.4">
      <c r="A6" s="7">
        <v>4</v>
      </c>
      <c r="B6" s="11">
        <f t="shared" ca="1" si="7"/>
        <v>43894</v>
      </c>
      <c r="C6" s="12">
        <f t="shared" ca="1" si="0"/>
        <v>43894</v>
      </c>
      <c r="E6" s="29">
        <v>0.39583333333333331</v>
      </c>
      <c r="F6" s="23"/>
      <c r="G6" s="29">
        <v>0.58333333333333337</v>
      </c>
      <c r="H6" s="15"/>
      <c r="I6" s="29">
        <v>0.63541666666666663</v>
      </c>
      <c r="J6" s="24"/>
      <c r="K6" s="29">
        <v>0.77083333333333337</v>
      </c>
      <c r="L6" s="9"/>
      <c r="M6" s="18">
        <f t="shared" ca="1" si="8"/>
        <v>0.3229166666666668</v>
      </c>
      <c r="N6" s="18">
        <f t="shared" ca="1" si="9"/>
        <v>0.3229166666666668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465</v>
      </c>
      <c r="U6" s="22">
        <f t="shared" ca="1" si="2"/>
        <v>465</v>
      </c>
      <c r="V6" s="22">
        <f t="shared" ca="1" si="2"/>
        <v>0</v>
      </c>
      <c r="W6" s="7">
        <f t="shared" ca="1" si="11"/>
        <v>4</v>
      </c>
      <c r="X6" s="19">
        <f t="shared" ca="1" si="3"/>
        <v>0.33333333333333331</v>
      </c>
      <c r="Y6" s="7">
        <f t="shared" ca="1" si="4"/>
        <v>0</v>
      </c>
      <c r="Z6" s="7">
        <f t="shared" ca="1" si="5"/>
        <v>0</v>
      </c>
      <c r="AA6" s="7">
        <f t="shared" ca="1" si="6"/>
        <v>3</v>
      </c>
    </row>
    <row r="7" spans="1:27" ht="15" thickBot="1" x14ac:dyDescent="0.4">
      <c r="A7" s="7">
        <v>5</v>
      </c>
      <c r="B7" s="11">
        <f t="shared" ca="1" si="7"/>
        <v>43895</v>
      </c>
      <c r="C7" s="12">
        <f t="shared" ca="1" si="0"/>
        <v>43895</v>
      </c>
      <c r="D7" s="12"/>
      <c r="E7" s="16" t="s">
        <v>3</v>
      </c>
      <c r="F7" s="23"/>
      <c r="G7" s="16" t="s">
        <v>4</v>
      </c>
      <c r="H7" s="15"/>
      <c r="I7" s="16" t="s">
        <v>5</v>
      </c>
      <c r="J7" s="24"/>
      <c r="K7" s="16" t="s">
        <v>6</v>
      </c>
      <c r="L7" s="9"/>
      <c r="M7" s="18">
        <f t="shared" ca="1" si="8"/>
        <v>0.35416666666666674</v>
      </c>
      <c r="N7" s="18">
        <f t="shared" ca="1" si="9"/>
        <v>0.33333333333333331</v>
      </c>
      <c r="O7" s="19">
        <f t="shared" ca="1" si="1"/>
        <v>2.0833333333333426E-2</v>
      </c>
      <c r="P7" s="9"/>
      <c r="Q7" s="20"/>
      <c r="R7" s="21" t="s">
        <v>8</v>
      </c>
      <c r="T7" s="22">
        <f t="shared" ca="1" si="10"/>
        <v>510</v>
      </c>
      <c r="U7" s="22">
        <f t="shared" ca="1" si="2"/>
        <v>480</v>
      </c>
      <c r="V7" s="22">
        <f t="shared" ca="1" si="2"/>
        <v>30</v>
      </c>
      <c r="W7" s="7">
        <f t="shared" ca="1" si="11"/>
        <v>5</v>
      </c>
      <c r="X7" s="19">
        <f t="shared" ca="1" si="3"/>
        <v>0.33333333333333331</v>
      </c>
      <c r="Y7" s="7">
        <f t="shared" ca="1" si="4"/>
        <v>0</v>
      </c>
      <c r="Z7" s="7">
        <f t="shared" ca="1" si="5"/>
        <v>0</v>
      </c>
      <c r="AA7" s="7">
        <f t="shared" ca="1" si="6"/>
        <v>3</v>
      </c>
    </row>
    <row r="8" spans="1:27" ht="15" thickBot="1" x14ac:dyDescent="0.4">
      <c r="A8" s="7">
        <v>6</v>
      </c>
      <c r="B8" s="11">
        <f t="shared" ca="1" si="7"/>
        <v>43896</v>
      </c>
      <c r="C8" s="12">
        <f t="shared" ca="1" si="0"/>
        <v>43896</v>
      </c>
      <c r="E8" s="29">
        <v>0.39583333333333331</v>
      </c>
      <c r="F8" s="23"/>
      <c r="G8" s="29">
        <v>0.5</v>
      </c>
      <c r="H8" s="15"/>
      <c r="I8" s="29">
        <v>0</v>
      </c>
      <c r="J8" s="24"/>
      <c r="K8" s="29">
        <v>0</v>
      </c>
      <c r="L8" s="9"/>
      <c r="M8" s="18">
        <f t="shared" ca="1" si="8"/>
        <v>0.10416666666666669</v>
      </c>
      <c r="N8" s="18">
        <f t="shared" ca="1" si="9"/>
        <v>0.10416666666666669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150</v>
      </c>
      <c r="U8" s="22">
        <f t="shared" ca="1" si="2"/>
        <v>150</v>
      </c>
      <c r="V8" s="22">
        <f t="shared" ca="1" si="2"/>
        <v>0</v>
      </c>
      <c r="W8" s="7">
        <f t="shared" ca="1" si="11"/>
        <v>6</v>
      </c>
      <c r="X8" s="19">
        <f t="shared" ca="1" si="3"/>
        <v>0.25</v>
      </c>
      <c r="Y8" s="7">
        <f t="shared" ca="1" si="4"/>
        <v>0</v>
      </c>
      <c r="Z8" s="7">
        <f t="shared" ca="1" si="5"/>
        <v>0</v>
      </c>
      <c r="AA8" s="7">
        <f t="shared" ca="1" si="6"/>
        <v>3</v>
      </c>
    </row>
    <row r="9" spans="1:27" ht="15" thickBot="1" x14ac:dyDescent="0.4">
      <c r="A9" s="7">
        <v>7</v>
      </c>
      <c r="B9" s="11">
        <f t="shared" ca="1" si="7"/>
        <v>43897</v>
      </c>
      <c r="C9" s="12">
        <f t="shared" ca="1" si="0"/>
        <v>43897</v>
      </c>
      <c r="D9" s="12"/>
      <c r="E9" s="29">
        <v>0.39583333333333331</v>
      </c>
      <c r="F9" s="23"/>
      <c r="G9" s="29">
        <v>0.73958333333333337</v>
      </c>
      <c r="H9" s="23"/>
      <c r="I9" s="29">
        <v>0</v>
      </c>
      <c r="J9" s="24"/>
      <c r="K9" s="29">
        <v>0</v>
      </c>
      <c r="L9" s="9"/>
      <c r="M9" s="18">
        <f t="shared" ca="1" si="8"/>
        <v>0</v>
      </c>
      <c r="N9" s="18">
        <f t="shared" ca="1" si="9"/>
        <v>0</v>
      </c>
      <c r="O9" s="19">
        <f t="shared" ca="1" si="1"/>
        <v>0</v>
      </c>
      <c r="P9" s="9"/>
      <c r="Q9" s="30"/>
      <c r="R9" s="21" t="s">
        <v>15</v>
      </c>
      <c r="T9" s="22">
        <f t="shared" ca="1" si="10"/>
        <v>0</v>
      </c>
      <c r="U9" s="22">
        <f t="shared" ca="1" si="2"/>
        <v>0</v>
      </c>
      <c r="V9" s="22">
        <f t="shared" ca="1" si="2"/>
        <v>0</v>
      </c>
      <c r="W9" s="7">
        <f t="shared" ca="1" si="11"/>
        <v>7</v>
      </c>
      <c r="X9" s="19">
        <f t="shared" ca="1" si="3"/>
        <v>0</v>
      </c>
      <c r="Y9" s="7">
        <f t="shared" ca="1" si="4"/>
        <v>0</v>
      </c>
      <c r="Z9" s="7">
        <f t="shared" ca="1" si="5"/>
        <v>1</v>
      </c>
      <c r="AA9" s="7">
        <f t="shared" ca="1" si="6"/>
        <v>3</v>
      </c>
    </row>
    <row r="10" spans="1:27" ht="15" thickBot="1" x14ac:dyDescent="0.4">
      <c r="A10" s="7">
        <v>8</v>
      </c>
      <c r="B10" s="11">
        <f t="shared" ca="1" si="7"/>
        <v>43898</v>
      </c>
      <c r="C10" s="12">
        <f t="shared" ca="1" si="0"/>
        <v>43898</v>
      </c>
      <c r="E10" s="29">
        <v>0.34375</v>
      </c>
      <c r="F10" s="23"/>
      <c r="G10" s="29">
        <v>0.73958333333333337</v>
      </c>
      <c r="H10" s="23"/>
      <c r="I10" s="29">
        <v>0</v>
      </c>
      <c r="J10" s="24"/>
      <c r="K10" s="29">
        <v>0.52083333333333337</v>
      </c>
      <c r="L10" s="9"/>
      <c r="M10" s="18">
        <f t="shared" ca="1" si="8"/>
        <v>0</v>
      </c>
      <c r="N10" s="18">
        <f t="shared" ca="1" si="9"/>
        <v>0</v>
      </c>
      <c r="O10" s="19">
        <f t="shared" ca="1" si="1"/>
        <v>0</v>
      </c>
      <c r="P10" s="9"/>
      <c r="Q10" s="20"/>
      <c r="R10" s="21" t="s">
        <v>15</v>
      </c>
      <c r="T10" s="22">
        <f t="shared" ca="1" si="10"/>
        <v>0</v>
      </c>
      <c r="U10" s="22">
        <f t="shared" ca="1" si="2"/>
        <v>0</v>
      </c>
      <c r="V10" s="22">
        <f t="shared" ca="1" si="2"/>
        <v>0</v>
      </c>
      <c r="W10" s="7">
        <f t="shared" ca="1" si="11"/>
        <v>1</v>
      </c>
      <c r="X10" s="19">
        <f t="shared" ca="1" si="3"/>
        <v>0</v>
      </c>
      <c r="Y10" s="7">
        <f t="shared" ca="1" si="4"/>
        <v>0</v>
      </c>
      <c r="Z10" s="7">
        <f t="shared" ca="1" si="5"/>
        <v>1</v>
      </c>
      <c r="AA10" s="7">
        <f t="shared" ca="1" si="6"/>
        <v>3</v>
      </c>
    </row>
    <row r="11" spans="1:27" ht="15" thickBot="1" x14ac:dyDescent="0.4">
      <c r="A11" s="7">
        <v>9</v>
      </c>
      <c r="B11" s="11">
        <f t="shared" ca="1" si="7"/>
        <v>43899</v>
      </c>
      <c r="C11" s="12">
        <f t="shared" ca="1" si="0"/>
        <v>43899</v>
      </c>
      <c r="D11" s="12"/>
      <c r="E11" s="29">
        <v>0.39583333333333331</v>
      </c>
      <c r="F11" s="23"/>
      <c r="G11" s="29">
        <v>0.58333333333333337</v>
      </c>
      <c r="H11" s="15"/>
      <c r="I11" s="29">
        <v>0.63541666666666663</v>
      </c>
      <c r="J11" s="24"/>
      <c r="K11" s="29">
        <v>0.77083333333333337</v>
      </c>
      <c r="L11" s="9"/>
      <c r="M11" s="18">
        <f t="shared" ca="1" si="8"/>
        <v>0.3229166666666668</v>
      </c>
      <c r="N11" s="18">
        <f t="shared" ca="1" si="9"/>
        <v>0.3229166666666668</v>
      </c>
      <c r="O11" s="19">
        <f t="shared" ca="1" si="1"/>
        <v>0</v>
      </c>
      <c r="P11" s="9"/>
      <c r="Q11" s="30"/>
      <c r="R11" s="21" t="s">
        <v>15</v>
      </c>
      <c r="T11" s="22">
        <f t="shared" ca="1" si="10"/>
        <v>465</v>
      </c>
      <c r="U11" s="22">
        <f t="shared" ca="1" si="2"/>
        <v>465</v>
      </c>
      <c r="V11" s="22">
        <f t="shared" ca="1" si="2"/>
        <v>0</v>
      </c>
      <c r="W11" s="7">
        <f t="shared" ca="1" si="11"/>
        <v>2</v>
      </c>
      <c r="X11" s="19">
        <f t="shared" ca="1" si="3"/>
        <v>0.33333333333333331</v>
      </c>
      <c r="Y11" s="7">
        <f t="shared" ca="1" si="4"/>
        <v>0</v>
      </c>
      <c r="Z11" s="7">
        <f t="shared" ca="1" si="5"/>
        <v>0</v>
      </c>
      <c r="AA11" s="7">
        <f t="shared" ca="1" si="6"/>
        <v>3</v>
      </c>
    </row>
    <row r="12" spans="1:27" ht="15" thickBot="1" x14ac:dyDescent="0.4">
      <c r="A12" s="7">
        <v>10</v>
      </c>
      <c r="B12" s="11">
        <f t="shared" ca="1" si="7"/>
        <v>43900</v>
      </c>
      <c r="C12" s="12">
        <f t="shared" ca="1" si="0"/>
        <v>43900</v>
      </c>
      <c r="E12" s="29">
        <v>0.39583333333333331</v>
      </c>
      <c r="F12" s="23"/>
      <c r="G12" s="29">
        <v>0.58333333333333337</v>
      </c>
      <c r="H12" s="15"/>
      <c r="I12" s="29">
        <v>0.63541666666666663</v>
      </c>
      <c r="J12" s="24"/>
      <c r="K12" s="29">
        <v>0.77083333333333337</v>
      </c>
      <c r="L12" s="9"/>
      <c r="M12" s="18">
        <f t="shared" ca="1" si="8"/>
        <v>0.3229166666666668</v>
      </c>
      <c r="N12" s="18">
        <f t="shared" ca="1" si="9"/>
        <v>0.3229166666666668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465</v>
      </c>
      <c r="U12" s="22">
        <f t="shared" ca="1" si="2"/>
        <v>465</v>
      </c>
      <c r="V12" s="22">
        <f t="shared" ca="1" si="2"/>
        <v>0</v>
      </c>
      <c r="W12" s="7">
        <f t="shared" ca="1" si="11"/>
        <v>3</v>
      </c>
      <c r="X12" s="19">
        <f t="shared" ca="1" si="3"/>
        <v>0.33333333333333331</v>
      </c>
      <c r="Y12" s="7">
        <f t="shared" ca="1" si="4"/>
        <v>0</v>
      </c>
      <c r="Z12" s="7">
        <f t="shared" ca="1" si="5"/>
        <v>0</v>
      </c>
      <c r="AA12" s="7">
        <f t="shared" ca="1" si="6"/>
        <v>3</v>
      </c>
    </row>
    <row r="13" spans="1:27" ht="15" thickBot="1" x14ac:dyDescent="0.4">
      <c r="A13" s="7">
        <v>11</v>
      </c>
      <c r="B13" s="11">
        <f t="shared" ca="1" si="7"/>
        <v>43901</v>
      </c>
      <c r="C13" s="12">
        <f t="shared" ca="1" si="0"/>
        <v>43901</v>
      </c>
      <c r="D13" s="12"/>
      <c r="E13" s="16" t="s">
        <v>3</v>
      </c>
      <c r="F13" s="23"/>
      <c r="G13" s="16" t="s">
        <v>4</v>
      </c>
      <c r="H13" s="15"/>
      <c r="I13" s="16" t="s">
        <v>5</v>
      </c>
      <c r="J13" s="24"/>
      <c r="K13" s="16" t="s">
        <v>6</v>
      </c>
      <c r="L13" s="9"/>
      <c r="M13" s="18">
        <f t="shared" ca="1" si="8"/>
        <v>0.35416666666666674</v>
      </c>
      <c r="N13" s="18">
        <f t="shared" ca="1" si="9"/>
        <v>0.33333333333333331</v>
      </c>
      <c r="O13" s="19">
        <f t="shared" ca="1" si="1"/>
        <v>2.0833333333333426E-2</v>
      </c>
      <c r="P13" s="9"/>
      <c r="Q13" s="20"/>
      <c r="R13" s="21" t="s">
        <v>8</v>
      </c>
      <c r="T13" s="22">
        <f t="shared" ca="1" si="10"/>
        <v>510</v>
      </c>
      <c r="U13" s="22">
        <f t="shared" ca="1" si="2"/>
        <v>480</v>
      </c>
      <c r="V13" s="22">
        <f t="shared" ca="1" si="2"/>
        <v>30</v>
      </c>
      <c r="W13" s="7">
        <f t="shared" ca="1" si="11"/>
        <v>4</v>
      </c>
      <c r="X13" s="19">
        <f t="shared" ca="1" si="3"/>
        <v>0.33333333333333331</v>
      </c>
      <c r="Y13" s="7">
        <f t="shared" ca="1" si="4"/>
        <v>0</v>
      </c>
      <c r="Z13" s="7">
        <f t="shared" ca="1" si="5"/>
        <v>0</v>
      </c>
      <c r="AA13" s="7">
        <f t="shared" ca="1" si="6"/>
        <v>3</v>
      </c>
    </row>
    <row r="14" spans="1:27" ht="15" thickBot="1" x14ac:dyDescent="0.4">
      <c r="A14" s="7">
        <v>12</v>
      </c>
      <c r="B14" s="11">
        <f t="shared" ca="1" si="7"/>
        <v>43902</v>
      </c>
      <c r="C14" s="12">
        <f t="shared" ca="1" si="0"/>
        <v>43902</v>
      </c>
      <c r="E14" s="16" t="s">
        <v>3</v>
      </c>
      <c r="F14" s="23"/>
      <c r="G14" s="16" t="s">
        <v>4</v>
      </c>
      <c r="H14" s="15"/>
      <c r="I14" s="16" t="s">
        <v>5</v>
      </c>
      <c r="J14" s="24"/>
      <c r="K14" s="16" t="s">
        <v>6</v>
      </c>
      <c r="L14" s="9"/>
      <c r="M14" s="18">
        <f t="shared" ca="1" si="8"/>
        <v>0.35416666666666674</v>
      </c>
      <c r="N14" s="18">
        <f t="shared" ca="1" si="9"/>
        <v>0.33333333333333331</v>
      </c>
      <c r="O14" s="19">
        <f t="shared" ca="1" si="1"/>
        <v>2.0833333333333426E-2</v>
      </c>
      <c r="P14" s="9"/>
      <c r="Q14" s="20"/>
      <c r="R14" s="21" t="s">
        <v>8</v>
      </c>
      <c r="T14" s="22">
        <f t="shared" ca="1" si="10"/>
        <v>510</v>
      </c>
      <c r="U14" s="22">
        <f t="shared" ca="1" si="2"/>
        <v>480</v>
      </c>
      <c r="V14" s="22">
        <f t="shared" ca="1" si="2"/>
        <v>30</v>
      </c>
      <c r="W14" s="7">
        <f t="shared" ca="1" si="11"/>
        <v>5</v>
      </c>
      <c r="X14" s="19">
        <f t="shared" ca="1" si="3"/>
        <v>0.33333333333333331</v>
      </c>
      <c r="Y14" s="7">
        <f t="shared" ca="1" si="4"/>
        <v>0</v>
      </c>
      <c r="Z14" s="7">
        <f t="shared" ca="1" si="5"/>
        <v>0</v>
      </c>
      <c r="AA14" s="7">
        <f t="shared" ca="1" si="6"/>
        <v>3</v>
      </c>
    </row>
    <row r="15" spans="1:27" ht="15" thickBot="1" x14ac:dyDescent="0.4">
      <c r="A15" s="7">
        <v>13</v>
      </c>
      <c r="B15" s="11">
        <f t="shared" ca="1" si="7"/>
        <v>43903</v>
      </c>
      <c r="C15" s="12">
        <f t="shared" ca="1" si="0"/>
        <v>43903</v>
      </c>
      <c r="D15" s="12"/>
      <c r="E15" s="29">
        <v>0.39583333333333331</v>
      </c>
      <c r="F15" s="23"/>
      <c r="G15" s="29">
        <v>0.5</v>
      </c>
      <c r="H15" s="15"/>
      <c r="I15" s="29">
        <v>0</v>
      </c>
      <c r="J15" s="24"/>
      <c r="K15" s="29">
        <v>0</v>
      </c>
      <c r="L15" s="9"/>
      <c r="M15" s="18">
        <f t="shared" ca="1" si="8"/>
        <v>0.10416666666666669</v>
      </c>
      <c r="N15" s="18">
        <f t="shared" ca="1" si="9"/>
        <v>0.10416666666666669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150</v>
      </c>
      <c r="U15" s="22">
        <f t="shared" ca="1" si="2"/>
        <v>150</v>
      </c>
      <c r="V15" s="22">
        <f t="shared" ca="1" si="2"/>
        <v>0</v>
      </c>
      <c r="W15" s="7">
        <f t="shared" ca="1" si="11"/>
        <v>6</v>
      </c>
      <c r="X15" s="19">
        <f t="shared" ca="1" si="3"/>
        <v>0.25</v>
      </c>
      <c r="Y15" s="7">
        <f t="shared" ca="1" si="4"/>
        <v>0</v>
      </c>
      <c r="Z15" s="7">
        <f t="shared" ca="1" si="5"/>
        <v>0</v>
      </c>
      <c r="AA15" s="7">
        <f t="shared" ca="1" si="6"/>
        <v>3</v>
      </c>
    </row>
    <row r="16" spans="1:27" ht="15" thickBot="1" x14ac:dyDescent="0.4">
      <c r="A16" s="7">
        <v>14</v>
      </c>
      <c r="B16" s="11">
        <f t="shared" ca="1" si="7"/>
        <v>43904</v>
      </c>
      <c r="C16" s="12">
        <f t="shared" ca="1" si="0"/>
        <v>43904</v>
      </c>
      <c r="E16" s="29">
        <v>0.39583333333333331</v>
      </c>
      <c r="F16" s="23"/>
      <c r="G16" s="29">
        <v>0.73958333333333337</v>
      </c>
      <c r="H16" s="15"/>
      <c r="I16" s="29">
        <v>0</v>
      </c>
      <c r="J16" s="24"/>
      <c r="K16" s="29">
        <v>0</v>
      </c>
      <c r="L16" s="9"/>
      <c r="M16" s="18">
        <f t="shared" ca="1" si="8"/>
        <v>0</v>
      </c>
      <c r="N16" s="18">
        <f t="shared" ca="1" si="9"/>
        <v>0</v>
      </c>
      <c r="O16" s="19">
        <f t="shared" ca="1" si="1"/>
        <v>0</v>
      </c>
      <c r="P16" s="9"/>
      <c r="Q16" s="30"/>
      <c r="R16" s="21" t="s">
        <v>15</v>
      </c>
      <c r="T16" s="22">
        <f t="shared" ca="1" si="10"/>
        <v>0</v>
      </c>
      <c r="U16" s="22">
        <f t="shared" ca="1" si="2"/>
        <v>0</v>
      </c>
      <c r="V16" s="22">
        <f t="shared" ca="1" si="2"/>
        <v>0</v>
      </c>
      <c r="W16" s="7">
        <f t="shared" ca="1" si="11"/>
        <v>7</v>
      </c>
      <c r="X16" s="19">
        <f t="shared" ca="1" si="3"/>
        <v>0</v>
      </c>
      <c r="Y16" s="7">
        <f t="shared" ca="1" si="4"/>
        <v>0</v>
      </c>
      <c r="Z16" s="7">
        <f t="shared" ca="1" si="5"/>
        <v>1</v>
      </c>
      <c r="AA16" s="7">
        <f t="shared" ca="1" si="6"/>
        <v>3</v>
      </c>
    </row>
    <row r="17" spans="1:27" ht="15" thickBot="1" x14ac:dyDescent="0.4">
      <c r="A17" s="7">
        <v>15</v>
      </c>
      <c r="B17" s="11">
        <f t="shared" ca="1" si="7"/>
        <v>43905</v>
      </c>
      <c r="C17" s="12">
        <f t="shared" ca="1" si="0"/>
        <v>43905</v>
      </c>
      <c r="D17" s="12"/>
      <c r="E17" s="29">
        <v>0.34375</v>
      </c>
      <c r="F17" s="23"/>
      <c r="G17" s="29">
        <v>0.73958333333333337</v>
      </c>
      <c r="H17" s="23"/>
      <c r="I17" s="29">
        <v>0</v>
      </c>
      <c r="J17" s="24"/>
      <c r="K17" s="29">
        <v>0.52083333333333337</v>
      </c>
      <c r="L17" s="9"/>
      <c r="M17" s="18">
        <f t="shared" ca="1" si="8"/>
        <v>0</v>
      </c>
      <c r="N17" s="18">
        <f t="shared" ca="1" si="9"/>
        <v>0</v>
      </c>
      <c r="O17" s="19">
        <f t="shared" ca="1" si="1"/>
        <v>0</v>
      </c>
      <c r="P17" s="9"/>
      <c r="Q17" s="30"/>
      <c r="R17" s="21" t="s">
        <v>15</v>
      </c>
      <c r="T17" s="22">
        <f t="shared" ca="1" si="10"/>
        <v>0</v>
      </c>
      <c r="U17" s="22">
        <f t="shared" ca="1" si="2"/>
        <v>0</v>
      </c>
      <c r="V17" s="22">
        <f t="shared" ca="1" si="2"/>
        <v>0</v>
      </c>
      <c r="W17" s="7">
        <f t="shared" ca="1" si="11"/>
        <v>1</v>
      </c>
      <c r="X17" s="19">
        <f t="shared" ca="1" si="3"/>
        <v>0</v>
      </c>
      <c r="Y17" s="7">
        <f t="shared" ca="1" si="4"/>
        <v>0</v>
      </c>
      <c r="Z17" s="7">
        <f t="shared" ca="1" si="5"/>
        <v>1</v>
      </c>
      <c r="AA17" s="7">
        <f t="shared" ca="1" si="6"/>
        <v>3</v>
      </c>
    </row>
    <row r="18" spans="1:27" ht="15" thickBot="1" x14ac:dyDescent="0.4">
      <c r="A18" s="7">
        <v>16</v>
      </c>
      <c r="B18" s="11">
        <f t="shared" ca="1" si="7"/>
        <v>43906</v>
      </c>
      <c r="C18" s="12">
        <f t="shared" ca="1" si="0"/>
        <v>43906</v>
      </c>
      <c r="E18" s="29">
        <v>0.65625</v>
      </c>
      <c r="F18" s="23"/>
      <c r="G18" s="29">
        <v>0.73958333333333337</v>
      </c>
      <c r="H18" s="23"/>
      <c r="I18" s="29">
        <v>0</v>
      </c>
      <c r="J18" s="24"/>
      <c r="K18" s="29">
        <v>0</v>
      </c>
      <c r="L18" s="9"/>
      <c r="M18" s="18">
        <f t="shared" ca="1" si="8"/>
        <v>8.333333333333337E-2</v>
      </c>
      <c r="N18" s="18">
        <f t="shared" ca="1" si="9"/>
        <v>8.333333333333337E-2</v>
      </c>
      <c r="O18" s="19">
        <f t="shared" ca="1" si="1"/>
        <v>0</v>
      </c>
      <c r="P18" s="9"/>
      <c r="Q18" s="30"/>
      <c r="R18" s="21" t="s">
        <v>8</v>
      </c>
      <c r="T18" s="22">
        <f t="shared" ca="1" si="10"/>
        <v>120</v>
      </c>
      <c r="U18" s="22">
        <f t="shared" ca="1" si="2"/>
        <v>120</v>
      </c>
      <c r="V18" s="22">
        <f t="shared" ca="1" si="2"/>
        <v>0</v>
      </c>
      <c r="W18" s="7">
        <f t="shared" ca="1" si="11"/>
        <v>2</v>
      </c>
      <c r="X18" s="19">
        <f t="shared" ca="1" si="3"/>
        <v>0.33333333333333331</v>
      </c>
      <c r="Y18" s="7">
        <f t="shared" ca="1" si="4"/>
        <v>0</v>
      </c>
      <c r="Z18" s="7">
        <f t="shared" ca="1" si="5"/>
        <v>0</v>
      </c>
      <c r="AA18" s="7">
        <f t="shared" ca="1" si="6"/>
        <v>3</v>
      </c>
    </row>
    <row r="19" spans="1:27" ht="15" thickBot="1" x14ac:dyDescent="0.4">
      <c r="A19" s="7">
        <v>17</v>
      </c>
      <c r="B19" s="11">
        <f t="shared" ca="1" si="7"/>
        <v>43907</v>
      </c>
      <c r="C19" s="12">
        <f t="shared" ca="1" si="0"/>
        <v>43907</v>
      </c>
      <c r="D19" s="12"/>
      <c r="E19" s="29">
        <v>0.39583333333333331</v>
      </c>
      <c r="F19" s="23"/>
      <c r="G19" s="29">
        <v>0.58333333333333337</v>
      </c>
      <c r="H19" s="15"/>
      <c r="I19" s="29">
        <v>0.63541666666666663</v>
      </c>
      <c r="J19" s="24"/>
      <c r="K19" s="29">
        <v>0.77083333333333337</v>
      </c>
      <c r="L19" s="9"/>
      <c r="M19" s="18">
        <f t="shared" ca="1" si="8"/>
        <v>0.3229166666666668</v>
      </c>
      <c r="N19" s="18">
        <f t="shared" ca="1" si="9"/>
        <v>0.3229166666666668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465</v>
      </c>
      <c r="U19" s="22">
        <f t="shared" ca="1" si="10"/>
        <v>465</v>
      </c>
      <c r="V19" s="22">
        <f t="shared" ca="1" si="10"/>
        <v>0</v>
      </c>
      <c r="W19" s="7">
        <f t="shared" ca="1" si="11"/>
        <v>3</v>
      </c>
      <c r="X19" s="19">
        <f t="shared" ca="1" si="3"/>
        <v>0.33333333333333331</v>
      </c>
      <c r="Y19" s="7">
        <f t="shared" ca="1" si="4"/>
        <v>0</v>
      </c>
      <c r="Z19" s="7">
        <f t="shared" ca="1" si="5"/>
        <v>0</v>
      </c>
      <c r="AA19" s="7">
        <f t="shared" ca="1" si="6"/>
        <v>3</v>
      </c>
    </row>
    <row r="20" spans="1:27" ht="15" thickBot="1" x14ac:dyDescent="0.4">
      <c r="A20" s="7">
        <v>18</v>
      </c>
      <c r="B20" s="11">
        <f t="shared" ca="1" si="7"/>
        <v>43908</v>
      </c>
      <c r="C20" s="12">
        <f t="shared" ca="1" si="0"/>
        <v>43908</v>
      </c>
      <c r="E20" s="16" t="s">
        <v>3</v>
      </c>
      <c r="F20" s="23"/>
      <c r="G20" s="16" t="s">
        <v>4</v>
      </c>
      <c r="H20" s="15"/>
      <c r="I20" s="16" t="s">
        <v>30</v>
      </c>
      <c r="J20" s="24"/>
      <c r="K20" s="16" t="s">
        <v>34</v>
      </c>
      <c r="L20" s="9"/>
      <c r="M20" s="18">
        <f t="shared" ca="1" si="8"/>
        <v>0.36458333333333337</v>
      </c>
      <c r="N20" s="18">
        <f t="shared" ca="1" si="9"/>
        <v>0.33333333333333331</v>
      </c>
      <c r="O20" s="19">
        <f t="shared" ca="1" si="1"/>
        <v>3.1250000000000056E-2</v>
      </c>
      <c r="P20" s="9"/>
      <c r="Q20" s="20"/>
      <c r="R20" s="21" t="s">
        <v>8</v>
      </c>
      <c r="T20" s="22">
        <f t="shared" ca="1" si="10"/>
        <v>525</v>
      </c>
      <c r="U20" s="22">
        <f t="shared" ca="1" si="10"/>
        <v>480</v>
      </c>
      <c r="V20" s="22">
        <f t="shared" ca="1" si="10"/>
        <v>45</v>
      </c>
      <c r="W20" s="7">
        <f t="shared" ca="1" si="11"/>
        <v>4</v>
      </c>
      <c r="X20" s="19">
        <f t="shared" ca="1" si="3"/>
        <v>0.33333333333333331</v>
      </c>
      <c r="Y20" s="7">
        <f t="shared" ca="1" si="4"/>
        <v>0</v>
      </c>
      <c r="Z20" s="7">
        <f t="shared" ca="1" si="5"/>
        <v>0</v>
      </c>
      <c r="AA20" s="7">
        <f t="shared" ca="1" si="6"/>
        <v>3</v>
      </c>
    </row>
    <row r="21" spans="1:27" ht="15" thickBot="1" x14ac:dyDescent="0.4">
      <c r="A21" s="7">
        <v>19</v>
      </c>
      <c r="B21" s="11">
        <f t="shared" ca="1" si="7"/>
        <v>43909</v>
      </c>
      <c r="C21" s="12">
        <f t="shared" ca="1" si="0"/>
        <v>43909</v>
      </c>
      <c r="D21" s="12"/>
      <c r="E21" s="29">
        <v>0.39583333333333331</v>
      </c>
      <c r="F21" s="23"/>
      <c r="G21" s="29">
        <v>0.58333333333333337</v>
      </c>
      <c r="H21" s="15"/>
      <c r="I21" s="29">
        <v>0.63541666666666663</v>
      </c>
      <c r="J21" s="24"/>
      <c r="K21" s="29">
        <v>0.77083333333333337</v>
      </c>
      <c r="L21" s="9"/>
      <c r="M21" s="18">
        <f t="shared" ca="1" si="8"/>
        <v>0.3229166666666668</v>
      </c>
      <c r="N21" s="18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0.3229166666666668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465</v>
      </c>
      <c r="U21" s="22">
        <f t="shared" ca="1" si="10"/>
        <v>465</v>
      </c>
      <c r="V21" s="22">
        <f t="shared" ca="1" si="10"/>
        <v>0</v>
      </c>
      <c r="W21" s="7">
        <f t="shared" ca="1" si="11"/>
        <v>5</v>
      </c>
      <c r="X21" s="19">
        <f t="shared" ca="1" si="3"/>
        <v>0.33333333333333331</v>
      </c>
      <c r="Y21" s="7">
        <f t="shared" ca="1" si="4"/>
        <v>0</v>
      </c>
      <c r="Z21" s="7">
        <f t="shared" ca="1" si="5"/>
        <v>0</v>
      </c>
      <c r="AA21" s="7">
        <f t="shared" ca="1" si="6"/>
        <v>3</v>
      </c>
    </row>
    <row r="22" spans="1:27" ht="15" thickBot="1" x14ac:dyDescent="0.4">
      <c r="A22" s="7">
        <v>20</v>
      </c>
      <c r="B22" s="11">
        <f t="shared" ca="1" si="7"/>
        <v>43910</v>
      </c>
      <c r="C22" s="12">
        <f t="shared" ca="1" si="0"/>
        <v>43910</v>
      </c>
      <c r="E22" s="29">
        <v>0.39583333333333331</v>
      </c>
      <c r="F22" s="23"/>
      <c r="G22" s="29">
        <v>0.5</v>
      </c>
      <c r="H22" s="15"/>
      <c r="I22" s="29">
        <v>0</v>
      </c>
      <c r="J22" s="24"/>
      <c r="K22" s="29">
        <v>0</v>
      </c>
      <c r="L22" s="9"/>
      <c r="M22" s="18">
        <f t="shared" ca="1" si="8"/>
        <v>0.10416666666666669</v>
      </c>
      <c r="N22" s="18">
        <f t="shared" ca="1" si="9"/>
        <v>0.10416666666666669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150</v>
      </c>
      <c r="U22" s="22">
        <f t="shared" ca="1" si="10"/>
        <v>150</v>
      </c>
      <c r="V22" s="22">
        <f t="shared" ca="1" si="10"/>
        <v>0</v>
      </c>
      <c r="W22" s="7">
        <f t="shared" ca="1" si="11"/>
        <v>6</v>
      </c>
      <c r="X22" s="19">
        <f t="shared" ca="1" si="3"/>
        <v>0.25</v>
      </c>
      <c r="Y22" s="7">
        <f t="shared" ca="1" si="4"/>
        <v>0</v>
      </c>
      <c r="Z22" s="7">
        <f t="shared" ca="1" si="5"/>
        <v>0</v>
      </c>
      <c r="AA22" s="7">
        <f t="shared" ca="1" si="6"/>
        <v>3</v>
      </c>
    </row>
    <row r="23" spans="1:27" ht="15" thickBot="1" x14ac:dyDescent="0.4">
      <c r="A23" s="7">
        <v>21</v>
      </c>
      <c r="B23" s="11">
        <f t="shared" ca="1" si="7"/>
        <v>43911</v>
      </c>
      <c r="C23" s="12">
        <f t="shared" ca="1" si="0"/>
        <v>43911</v>
      </c>
      <c r="D23" s="12"/>
      <c r="E23" s="29">
        <v>0.39583333333333331</v>
      </c>
      <c r="F23" s="23"/>
      <c r="G23" s="29" t="s">
        <v>43</v>
      </c>
      <c r="H23" s="15"/>
      <c r="I23" s="29">
        <v>0</v>
      </c>
      <c r="J23" s="24"/>
      <c r="K23" s="29">
        <v>0</v>
      </c>
      <c r="L23" s="9"/>
      <c r="M23" s="18">
        <f t="shared" ca="1" si="8"/>
        <v>0</v>
      </c>
      <c r="N23" s="18">
        <f t="shared" ca="1" si="9"/>
        <v>0</v>
      </c>
      <c r="O23" s="19">
        <f t="shared" ca="1" si="1"/>
        <v>0</v>
      </c>
      <c r="P23" s="9"/>
      <c r="Q23" s="30"/>
      <c r="R23" s="21" t="s">
        <v>15</v>
      </c>
      <c r="T23" s="22">
        <f t="shared" ca="1" si="10"/>
        <v>0</v>
      </c>
      <c r="U23" s="22">
        <f t="shared" ca="1" si="10"/>
        <v>0</v>
      </c>
      <c r="V23" s="22">
        <f t="shared" ca="1" si="10"/>
        <v>0</v>
      </c>
      <c r="W23" s="7">
        <f t="shared" ca="1" si="11"/>
        <v>7</v>
      </c>
      <c r="X23" s="19">
        <f t="shared" ca="1" si="3"/>
        <v>0</v>
      </c>
      <c r="Y23" s="7">
        <f t="shared" ca="1" si="4"/>
        <v>0</v>
      </c>
      <c r="Z23" s="7">
        <f t="shared" ca="1" si="5"/>
        <v>1</v>
      </c>
      <c r="AA23" s="7">
        <f t="shared" ca="1" si="6"/>
        <v>3</v>
      </c>
    </row>
    <row r="24" spans="1:27" ht="15" thickBot="1" x14ac:dyDescent="0.4">
      <c r="A24" s="7">
        <v>22</v>
      </c>
      <c r="B24" s="11">
        <f t="shared" ca="1" si="7"/>
        <v>43912</v>
      </c>
      <c r="C24" s="12">
        <f t="shared" ca="1" si="0"/>
        <v>43912</v>
      </c>
      <c r="E24" s="29">
        <v>0.34375</v>
      </c>
      <c r="F24" s="23"/>
      <c r="G24" s="29">
        <v>0.73958333333333337</v>
      </c>
      <c r="H24" s="15"/>
      <c r="I24" s="29">
        <v>0</v>
      </c>
      <c r="J24" s="24"/>
      <c r="K24" s="29">
        <v>0.52083333333333337</v>
      </c>
      <c r="L24" s="9"/>
      <c r="M24" s="18">
        <f t="shared" ca="1" si="8"/>
        <v>0</v>
      </c>
      <c r="N24" s="18">
        <f t="shared" ca="1" si="9"/>
        <v>0</v>
      </c>
      <c r="O24" s="19">
        <f t="shared" ca="1" si="1"/>
        <v>0</v>
      </c>
      <c r="P24" s="9"/>
      <c r="Q24" s="30"/>
      <c r="R24" s="21" t="s">
        <v>15</v>
      </c>
      <c r="T24" s="22">
        <f t="shared" ca="1" si="10"/>
        <v>0</v>
      </c>
      <c r="U24" s="22">
        <f t="shared" ca="1" si="10"/>
        <v>0</v>
      </c>
      <c r="V24" s="22">
        <f t="shared" ca="1" si="10"/>
        <v>0</v>
      </c>
      <c r="W24" s="7">
        <f t="shared" ca="1" si="11"/>
        <v>1</v>
      </c>
      <c r="X24" s="19">
        <f t="shared" ca="1" si="3"/>
        <v>0</v>
      </c>
      <c r="Y24" s="7">
        <f t="shared" ca="1" si="4"/>
        <v>0</v>
      </c>
      <c r="Z24" s="7">
        <f t="shared" ca="1" si="5"/>
        <v>1</v>
      </c>
      <c r="AA24" s="7">
        <f t="shared" ca="1" si="6"/>
        <v>3</v>
      </c>
    </row>
    <row r="25" spans="1:27" ht="15" thickBot="1" x14ac:dyDescent="0.4">
      <c r="A25" s="7">
        <v>23</v>
      </c>
      <c r="B25" s="11">
        <f t="shared" ca="1" si="7"/>
        <v>43913</v>
      </c>
      <c r="C25" s="12">
        <f t="shared" ca="1" si="0"/>
        <v>43913</v>
      </c>
      <c r="D25" s="12"/>
      <c r="E25" s="29">
        <v>0.39583333333333331</v>
      </c>
      <c r="F25" s="23"/>
      <c r="G25" s="29">
        <v>0.58333333333333337</v>
      </c>
      <c r="H25" s="23"/>
      <c r="I25" s="29">
        <v>0.63541666666666663</v>
      </c>
      <c r="J25" s="24"/>
      <c r="K25" s="29">
        <v>0.77083333333333337</v>
      </c>
      <c r="L25" s="9"/>
      <c r="M25" s="18">
        <f t="shared" ca="1" si="8"/>
        <v>0.3229166666666668</v>
      </c>
      <c r="N25" s="18">
        <f t="shared" ca="1" si="9"/>
        <v>0.3229166666666668</v>
      </c>
      <c r="O25" s="19">
        <f t="shared" ca="1" si="1"/>
        <v>0</v>
      </c>
      <c r="P25" s="9"/>
      <c r="Q25" s="30"/>
      <c r="R25" s="21" t="s">
        <v>15</v>
      </c>
      <c r="T25" s="22">
        <f t="shared" ca="1" si="10"/>
        <v>465</v>
      </c>
      <c r="U25" s="22">
        <f t="shared" ca="1" si="10"/>
        <v>465</v>
      </c>
      <c r="V25" s="22">
        <f t="shared" ca="1" si="10"/>
        <v>0</v>
      </c>
      <c r="W25" s="7">
        <f t="shared" ca="1" si="11"/>
        <v>2</v>
      </c>
      <c r="X25" s="19">
        <f t="shared" ca="1" si="3"/>
        <v>0.33333333333333331</v>
      </c>
      <c r="Y25" s="7">
        <f t="shared" ca="1" si="4"/>
        <v>0</v>
      </c>
      <c r="Z25" s="7">
        <f t="shared" ca="1" si="5"/>
        <v>0</v>
      </c>
      <c r="AA25" s="7">
        <f t="shared" ca="1" si="6"/>
        <v>3</v>
      </c>
    </row>
    <row r="26" spans="1:27" ht="15" thickBot="1" x14ac:dyDescent="0.4">
      <c r="A26" s="7">
        <v>24</v>
      </c>
      <c r="B26" s="11">
        <f t="shared" ca="1" si="7"/>
        <v>43914</v>
      </c>
      <c r="C26" s="12">
        <f t="shared" ca="1" si="0"/>
        <v>43914</v>
      </c>
      <c r="E26" s="29">
        <v>0.39583333333333331</v>
      </c>
      <c r="F26" s="23"/>
      <c r="G26" s="29">
        <v>0.58333333333333337</v>
      </c>
      <c r="H26" s="23"/>
      <c r="I26" s="29">
        <v>0.63541666666666663</v>
      </c>
      <c r="J26" s="24"/>
      <c r="K26" s="29">
        <v>0.77083333333333337</v>
      </c>
      <c r="L26" s="9"/>
      <c r="M26" s="18">
        <f t="shared" ca="1" si="8"/>
        <v>0.3229166666666668</v>
      </c>
      <c r="N26" s="18">
        <f t="shared" ca="1" si="9"/>
        <v>0.3229166666666668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465</v>
      </c>
      <c r="U26" s="22">
        <f t="shared" ca="1" si="10"/>
        <v>465</v>
      </c>
      <c r="V26" s="22">
        <f t="shared" ca="1" si="10"/>
        <v>0</v>
      </c>
      <c r="W26" s="7">
        <f t="shared" ca="1" si="11"/>
        <v>3</v>
      </c>
      <c r="X26" s="19">
        <f t="shared" ca="1" si="3"/>
        <v>0.33333333333333331</v>
      </c>
      <c r="Y26" s="7">
        <f t="shared" ca="1" si="4"/>
        <v>0</v>
      </c>
      <c r="Z26" s="7">
        <f t="shared" ca="1" si="5"/>
        <v>0</v>
      </c>
      <c r="AA26" s="7">
        <f t="shared" ca="1" si="6"/>
        <v>3</v>
      </c>
    </row>
    <row r="27" spans="1:27" ht="15" thickBot="1" x14ac:dyDescent="0.4">
      <c r="A27" s="7">
        <v>25</v>
      </c>
      <c r="B27" s="11">
        <f t="shared" ca="1" si="7"/>
        <v>43915</v>
      </c>
      <c r="C27" s="12">
        <f t="shared" ca="1" si="0"/>
        <v>43915</v>
      </c>
      <c r="D27" s="12"/>
      <c r="E27" s="16" t="s">
        <v>3</v>
      </c>
      <c r="F27" s="23"/>
      <c r="G27" s="16" t="s">
        <v>4</v>
      </c>
      <c r="H27" s="15"/>
      <c r="I27" s="16" t="s">
        <v>32</v>
      </c>
      <c r="J27" s="24"/>
      <c r="K27" s="29" t="s">
        <v>36</v>
      </c>
      <c r="L27" s="9"/>
      <c r="M27" s="18">
        <f t="shared" ca="1" si="8"/>
        <v>0.36458333333333337</v>
      </c>
      <c r="N27" s="18">
        <f t="shared" ca="1" si="9"/>
        <v>0.33333333333333331</v>
      </c>
      <c r="O27" s="19">
        <f t="shared" ca="1" si="1"/>
        <v>3.1250000000000056E-2</v>
      </c>
      <c r="P27" s="9"/>
      <c r="Q27" s="20"/>
      <c r="R27" s="21" t="s">
        <v>8</v>
      </c>
      <c r="T27" s="22">
        <f t="shared" ca="1" si="10"/>
        <v>525</v>
      </c>
      <c r="U27" s="22">
        <f t="shared" ca="1" si="10"/>
        <v>480</v>
      </c>
      <c r="V27" s="22">
        <f t="shared" ca="1" si="10"/>
        <v>45</v>
      </c>
      <c r="W27" s="7">
        <f t="shared" ca="1" si="11"/>
        <v>4</v>
      </c>
      <c r="X27" s="19">
        <f t="shared" ca="1" si="3"/>
        <v>0.33333333333333331</v>
      </c>
      <c r="Y27" s="7">
        <f t="shared" ca="1" si="4"/>
        <v>0</v>
      </c>
      <c r="Z27" s="7">
        <f t="shared" ca="1" si="5"/>
        <v>0</v>
      </c>
      <c r="AA27" s="7">
        <f t="shared" ca="1" si="6"/>
        <v>3</v>
      </c>
    </row>
    <row r="28" spans="1:27" ht="15" thickBot="1" x14ac:dyDescent="0.4">
      <c r="A28" s="7">
        <v>26</v>
      </c>
      <c r="B28" s="11">
        <f t="shared" ca="1" si="7"/>
        <v>43916</v>
      </c>
      <c r="C28" s="12">
        <f t="shared" ca="1" si="0"/>
        <v>43916</v>
      </c>
      <c r="E28" s="16" t="s">
        <v>3</v>
      </c>
      <c r="F28" s="23"/>
      <c r="G28" s="16" t="s">
        <v>4</v>
      </c>
      <c r="H28" s="15"/>
      <c r="I28" s="16" t="s">
        <v>33</v>
      </c>
      <c r="J28" s="24"/>
      <c r="K28" s="29" t="s">
        <v>37</v>
      </c>
      <c r="L28" s="9"/>
      <c r="M28" s="18">
        <f t="shared" ca="1" si="8"/>
        <v>0.36458333333333337</v>
      </c>
      <c r="N28" s="18">
        <f t="shared" ca="1" si="9"/>
        <v>0.33333333333333331</v>
      </c>
      <c r="O28" s="19">
        <f t="shared" ca="1" si="1"/>
        <v>3.1250000000000056E-2</v>
      </c>
      <c r="P28" s="9"/>
      <c r="Q28" s="20"/>
      <c r="R28" s="21" t="s">
        <v>8</v>
      </c>
      <c r="T28" s="22">
        <f t="shared" ca="1" si="10"/>
        <v>525</v>
      </c>
      <c r="U28" s="22">
        <f t="shared" ca="1" si="10"/>
        <v>480</v>
      </c>
      <c r="V28" s="22">
        <f t="shared" ca="1" si="10"/>
        <v>45</v>
      </c>
      <c r="W28" s="7">
        <f t="shared" ca="1" si="11"/>
        <v>5</v>
      </c>
      <c r="X28" s="19">
        <f t="shared" ca="1" si="3"/>
        <v>0.33333333333333331</v>
      </c>
      <c r="Y28" s="7">
        <f t="shared" ca="1" si="4"/>
        <v>0</v>
      </c>
      <c r="Z28" s="7">
        <f t="shared" ca="1" si="5"/>
        <v>0</v>
      </c>
      <c r="AA28" s="7">
        <f t="shared" ca="1" si="6"/>
        <v>3</v>
      </c>
    </row>
    <row r="29" spans="1:27" ht="15" thickBot="1" x14ac:dyDescent="0.4">
      <c r="A29" s="7">
        <v>27</v>
      </c>
      <c r="B29" s="11">
        <f t="shared" ca="1" si="7"/>
        <v>43917</v>
      </c>
      <c r="C29" s="12">
        <f t="shared" ca="1" si="0"/>
        <v>43917</v>
      </c>
      <c r="D29" s="12"/>
      <c r="E29" s="29">
        <v>0.39583333333333331</v>
      </c>
      <c r="F29" s="23"/>
      <c r="G29" s="29" t="s">
        <v>45</v>
      </c>
      <c r="H29" s="15"/>
      <c r="I29" s="29">
        <v>0</v>
      </c>
      <c r="J29" s="24"/>
      <c r="K29" s="29">
        <v>0</v>
      </c>
      <c r="L29" s="9"/>
      <c r="M29" s="18">
        <f t="shared" ca="1" si="8"/>
        <v>0.11458333333333331</v>
      </c>
      <c r="N29" s="18">
        <f t="shared" ca="1" si="9"/>
        <v>0.11458333333333331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165</v>
      </c>
      <c r="U29" s="22">
        <f t="shared" ca="1" si="10"/>
        <v>165</v>
      </c>
      <c r="V29" s="22">
        <f t="shared" ca="1" si="10"/>
        <v>0</v>
      </c>
      <c r="W29" s="7">
        <f t="shared" ca="1" si="11"/>
        <v>6</v>
      </c>
      <c r="X29" s="19">
        <f t="shared" ca="1" si="3"/>
        <v>0.25</v>
      </c>
      <c r="Y29" s="7">
        <f t="shared" ca="1" si="4"/>
        <v>0</v>
      </c>
      <c r="Z29" s="7">
        <f t="shared" ca="1" si="5"/>
        <v>0</v>
      </c>
      <c r="AA29" s="7">
        <f t="shared" ca="1" si="6"/>
        <v>3</v>
      </c>
    </row>
    <row r="30" spans="1:27" ht="15" thickBot="1" x14ac:dyDescent="0.4">
      <c r="A30" s="7">
        <v>28</v>
      </c>
      <c r="B30" s="11">
        <f t="shared" ca="1" si="7"/>
        <v>43918</v>
      </c>
      <c r="C30" s="12">
        <f t="shared" ca="1" si="0"/>
        <v>43918</v>
      </c>
      <c r="E30" s="29">
        <v>0.39583333333333331</v>
      </c>
      <c r="F30" s="23"/>
      <c r="G30" s="29">
        <v>0.73958333333333337</v>
      </c>
      <c r="H30" s="15"/>
      <c r="I30" s="29">
        <v>0</v>
      </c>
      <c r="J30" s="24"/>
      <c r="K30" s="29">
        <v>0</v>
      </c>
      <c r="L30" s="9"/>
      <c r="M30" s="18">
        <f t="shared" ca="1" si="8"/>
        <v>0</v>
      </c>
      <c r="N30" s="18">
        <f t="shared" ca="1" si="9"/>
        <v>0</v>
      </c>
      <c r="O30" s="19">
        <f t="shared" ca="1" si="1"/>
        <v>0</v>
      </c>
      <c r="P30" s="9"/>
      <c r="Q30" s="30"/>
      <c r="R30" s="21" t="s">
        <v>15</v>
      </c>
      <c r="T30" s="22">
        <f t="shared" ca="1" si="10"/>
        <v>0</v>
      </c>
      <c r="U30" s="22">
        <f t="shared" ca="1" si="10"/>
        <v>0</v>
      </c>
      <c r="V30" s="22">
        <f t="shared" ca="1" si="10"/>
        <v>0</v>
      </c>
      <c r="W30" s="7">
        <f t="shared" ca="1" si="11"/>
        <v>7</v>
      </c>
      <c r="X30" s="19">
        <f t="shared" ca="1" si="3"/>
        <v>0</v>
      </c>
      <c r="Y30" s="7">
        <f t="shared" ca="1" si="4"/>
        <v>0</v>
      </c>
      <c r="Z30" s="7">
        <f t="shared" ca="1" si="5"/>
        <v>1</v>
      </c>
      <c r="AA30" s="7">
        <f t="shared" ca="1" si="6"/>
        <v>3</v>
      </c>
    </row>
    <row r="31" spans="1:27" ht="15" thickBot="1" x14ac:dyDescent="0.4">
      <c r="A31" s="7">
        <v>29</v>
      </c>
      <c r="B31" s="11">
        <f t="shared" ca="1" si="7"/>
        <v>43919</v>
      </c>
      <c r="C31" s="12">
        <f t="shared" ca="1" si="0"/>
        <v>43919</v>
      </c>
      <c r="D31" s="12"/>
      <c r="E31" s="29">
        <v>0.34375</v>
      </c>
      <c r="F31" s="23"/>
      <c r="G31" s="29">
        <v>0.73958333333333337</v>
      </c>
      <c r="H31" s="15"/>
      <c r="I31" s="29">
        <v>0</v>
      </c>
      <c r="J31" s="24"/>
      <c r="K31" s="29">
        <v>0.52083333333333337</v>
      </c>
      <c r="L31" s="9"/>
      <c r="M31" s="18">
        <f t="shared" ca="1" si="8"/>
        <v>0</v>
      </c>
      <c r="N31" s="18">
        <f t="shared" ca="1" si="9"/>
        <v>0</v>
      </c>
      <c r="O31" s="19">
        <f t="shared" ca="1" si="1"/>
        <v>0</v>
      </c>
      <c r="P31" s="9"/>
      <c r="Q31" s="30"/>
      <c r="R31" s="21" t="s">
        <v>15</v>
      </c>
      <c r="T31" s="22">
        <f t="shared" ca="1" si="10"/>
        <v>0</v>
      </c>
      <c r="U31" s="22">
        <f t="shared" ca="1" si="10"/>
        <v>0</v>
      </c>
      <c r="V31" s="22">
        <f t="shared" ca="1" si="10"/>
        <v>0</v>
      </c>
      <c r="W31" s="7">
        <f t="shared" ca="1" si="11"/>
        <v>1</v>
      </c>
      <c r="X31" s="19">
        <f t="shared" ca="1" si="3"/>
        <v>0</v>
      </c>
      <c r="Y31" s="7">
        <f t="shared" ca="1" si="4"/>
        <v>0</v>
      </c>
      <c r="Z31" s="7">
        <f t="shared" ca="1" si="5"/>
        <v>1</v>
      </c>
      <c r="AA31" s="7">
        <f t="shared" ca="1" si="6"/>
        <v>3</v>
      </c>
    </row>
    <row r="32" spans="1:27" ht="15" thickBot="1" x14ac:dyDescent="0.4">
      <c r="A32" s="7">
        <v>30</v>
      </c>
      <c r="B32" s="11">
        <f t="shared" ca="1" si="7"/>
        <v>43920</v>
      </c>
      <c r="C32" s="12">
        <f t="shared" ca="1" si="0"/>
        <v>43920</v>
      </c>
      <c r="E32" s="29">
        <v>0.39583333333333331</v>
      </c>
      <c r="F32" s="23"/>
      <c r="G32" s="29">
        <v>0.58333333333333337</v>
      </c>
      <c r="H32" s="15"/>
      <c r="I32" s="29">
        <v>0.63541666666666663</v>
      </c>
      <c r="J32" s="24"/>
      <c r="K32" s="29">
        <v>0.77083333333333337</v>
      </c>
      <c r="L32" s="9"/>
      <c r="M32" s="18">
        <f t="shared" ca="1" si="8"/>
        <v>0.3229166666666668</v>
      </c>
      <c r="N32" s="18">
        <f t="shared" ca="1" si="9"/>
        <v>0.3229166666666668</v>
      </c>
      <c r="O32" s="19">
        <f t="shared" ca="1" si="1"/>
        <v>0</v>
      </c>
      <c r="P32" s="9"/>
      <c r="Q32" s="30"/>
      <c r="R32" s="21" t="s">
        <v>15</v>
      </c>
      <c r="T32" s="22">
        <f t="shared" ca="1" si="10"/>
        <v>465</v>
      </c>
      <c r="U32" s="22">
        <f t="shared" ca="1" si="10"/>
        <v>465</v>
      </c>
      <c r="V32" s="22">
        <f t="shared" ca="1" si="10"/>
        <v>0</v>
      </c>
      <c r="W32" s="7">
        <f t="shared" ca="1" si="11"/>
        <v>2</v>
      </c>
      <c r="X32" s="19">
        <f t="shared" ca="1" si="3"/>
        <v>0.33333333333333331</v>
      </c>
      <c r="Y32" s="7">
        <f t="shared" ca="1" si="4"/>
        <v>0</v>
      </c>
      <c r="Z32" s="7">
        <f t="shared" ca="1" si="5"/>
        <v>0</v>
      </c>
      <c r="AA32" s="7">
        <f t="shared" ca="1" si="6"/>
        <v>3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43921</v>
      </c>
      <c r="E33" s="29">
        <v>0.39583333333333331</v>
      </c>
      <c r="F33" s="23"/>
      <c r="G33" s="29">
        <v>0.58333333333333337</v>
      </c>
      <c r="H33" s="15"/>
      <c r="I33" s="29">
        <v>0.63541666666666663</v>
      </c>
      <c r="J33" s="24"/>
      <c r="K33" s="29">
        <v>0.77083333333333337</v>
      </c>
      <c r="L33" s="9"/>
      <c r="M33" s="18">
        <f t="shared" ca="1" si="8"/>
        <v>0.3229166666666668</v>
      </c>
      <c r="N33" s="18">
        <f t="shared" ca="1" si="9"/>
        <v>0.3229166666666668</v>
      </c>
      <c r="O33" s="19">
        <f t="shared" ca="1" si="1"/>
        <v>0</v>
      </c>
      <c r="P33" s="9"/>
      <c r="Q33" s="20"/>
      <c r="R33" s="21" t="s">
        <v>15</v>
      </c>
      <c r="T33" s="22">
        <f t="shared" ca="1" si="10"/>
        <v>465</v>
      </c>
      <c r="U33" s="22">
        <f t="shared" ca="1" si="10"/>
        <v>465</v>
      </c>
      <c r="V33" s="22">
        <f t="shared" ca="1" si="10"/>
        <v>0</v>
      </c>
      <c r="W33" s="7">
        <f t="shared" ca="1" si="11"/>
        <v>3</v>
      </c>
      <c r="X33" s="19">
        <f t="shared" ca="1" si="3"/>
        <v>0.33333333333333331</v>
      </c>
      <c r="Y33" s="7">
        <f t="shared" ca="1" si="4"/>
        <v>0</v>
      </c>
      <c r="Z33" s="7">
        <f t="shared" ca="1" si="5"/>
        <v>0</v>
      </c>
      <c r="AA33" s="7">
        <f t="shared" ca="1" si="6"/>
        <v>3</v>
      </c>
    </row>
    <row r="34" spans="1:27" ht="15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151.5</v>
      </c>
      <c r="N35" s="27">
        <f ca="1">SUM(U3:U33)/60</f>
        <v>145.75</v>
      </c>
      <c r="O35" s="27">
        <f ca="1">SUM(V3:V33)/60</f>
        <v>5.75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aHQDdQYNL2ap+1o+r8xj4Lo3R4IYN5qRcnyGj9gAU1s/AJ6MLu5ysAwirAihefiDgVAS+hLZUjFfkXq3Npa/1w==" saltValue="bSqdOwJMhEYwz/vs8vep3Q==" spinCount="100000" sheet="1" objects="1" scenarios="1"/>
  <mergeCells count="1">
    <mergeCell ref="B1:C1"/>
  </mergeCells>
  <conditionalFormatting sqref="G3:G33 E3:E33">
    <cfRule type="expression" dxfId="142" priority="5">
      <formula>VALUE(SUBSTITUTE($G3,":",""))&lt;VALUE(SUBSTITUTE($E3,":",""))</formula>
    </cfRule>
  </conditionalFormatting>
  <conditionalFormatting sqref="I3:I33 K3:K33">
    <cfRule type="expression" dxfId="141" priority="9">
      <formula>($K3-$I3)&lt;0</formula>
    </cfRule>
  </conditionalFormatting>
  <conditionalFormatting sqref="O3:O33">
    <cfRule type="cellIs" dxfId="140" priority="8" operator="greaterThan">
      <formula>0.1</formula>
    </cfRule>
    <cfRule type="expression" dxfId="139" priority="15">
      <formula>$R3="Fecha cerrada"</formula>
    </cfRule>
  </conditionalFormatting>
  <conditionalFormatting sqref="N3:N33">
    <cfRule type="expression" dxfId="138" priority="14">
      <formula>VALUE(SUBSTITUTE($G3,":",""))&lt;VALUE(SUBSTITUTE($E3,":",""))</formula>
    </cfRule>
  </conditionalFormatting>
  <conditionalFormatting sqref="N3:N33">
    <cfRule type="expression" dxfId="137" priority="13">
      <formula>$R3="Fecha cerrada"</formula>
    </cfRule>
  </conditionalFormatting>
  <conditionalFormatting sqref="X3:X33">
    <cfRule type="expression" dxfId="136" priority="12">
      <formula>VALUE(SUBSTITUTE($G3,":",""))&lt;VALUE(SUBSTITUTE($E3,":",""))</formula>
    </cfRule>
  </conditionalFormatting>
  <conditionalFormatting sqref="X3:X33">
    <cfRule type="expression" dxfId="135" priority="11">
      <formula>$R3="Fecha cerrada"</formula>
    </cfRule>
  </conditionalFormatting>
  <conditionalFormatting sqref="Q3:R33 N3:O33 E3:K33">
    <cfRule type="expression" dxfId="134" priority="1">
      <formula>OR($W3=1,$W3=7,$AA3&lt;&gt;_xlfn.SHEET($A$1),,IFERROR(VLOOKUP($C3,DiasVacaciones,1,FALSE+$O$14:$Q$14),0)&lt;&gt;0)</formula>
    </cfRule>
  </conditionalFormatting>
  <conditionalFormatting sqref="R3:R33">
    <cfRule type="cellIs" dxfId="133" priority="6" operator="equal">
      <formula>"Confirmar Fecha"</formula>
    </cfRule>
    <cfRule type="cellIs" dxfId="132" priority="7" operator="equal">
      <formula>"Confirmada"</formula>
    </cfRule>
  </conditionalFormatting>
  <conditionalFormatting sqref="M3:M33">
    <cfRule type="expression" dxfId="131" priority="4">
      <formula>VALUE(SUBSTITUTE($G3,":",""))&lt;VALUE(SUBSTITUTE($E3,":",""))</formula>
    </cfRule>
  </conditionalFormatting>
  <conditionalFormatting sqref="M3:M33">
    <cfRule type="expression" dxfId="130" priority="3">
      <formula>$R3="Fecha cerrada"</formula>
    </cfRule>
  </conditionalFormatting>
  <conditionalFormatting sqref="M3:M33">
    <cfRule type="expression" dxfId="129" priority="2">
      <formula>OR($W3=1,$W3=7,$Z3=1,$AA3&lt;&gt;_xlfn.SHEET($A$1))</formula>
    </cfRule>
  </conditionalFormatting>
  <conditionalFormatting sqref="E3:E33 G3:G33 I3:I33 K3:K33">
    <cfRule type="expression" dxfId="128" priority="10">
      <formula>$R3="Confirmada"</formula>
    </cfRule>
    <cfRule type="expression" dxfId="127" priority="16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G3:G33 K3:K33 I3:I33 E3:E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A39"/>
  <sheetViews>
    <sheetView showGridLines="0" workbookViewId="0">
      <selection activeCell="K33" sqref="K3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customWidth="1"/>
    <col min="20" max="20" width="6.26953125" style="7" hidden="1" customWidth="1"/>
    <col min="21" max="21" width="7.90625" style="7" hidden="1" customWidth="1"/>
    <col min="22" max="22" width="7.36328125" style="7" hidden="1" customWidth="1"/>
    <col min="23" max="24" width="10.90625" style="7" hidden="1" customWidth="1"/>
    <col min="25" max="25" width="11.1796875" style="7" hidden="1" customWidth="1"/>
    <col min="26" max="27" width="0" style="7" hidden="1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43922</v>
      </c>
      <c r="C3" s="12">
        <f t="shared" ref="C3:C33" ca="1" si="0">DATE(Anualidad,_xlfn.SHEET(B1),A3)</f>
        <v>43922</v>
      </c>
      <c r="D3" s="12"/>
      <c r="E3" s="13">
        <v>0.82291666666666663</v>
      </c>
      <c r="F3" s="14"/>
      <c r="G3" s="13" t="s">
        <v>39</v>
      </c>
      <c r="H3" s="15"/>
      <c r="I3" s="29" t="s">
        <v>38</v>
      </c>
      <c r="J3" s="17"/>
      <c r="K3" s="16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0.17708333333333348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0.17708333333333348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8</v>
      </c>
      <c r="T3" s="22">
        <f ca="1">MINUTE(M3)+(HOUR(M3)*60)</f>
        <v>255</v>
      </c>
      <c r="U3" s="22">
        <f t="shared" ref="U3:V18" ca="1" si="2">MINUTE(N3)+(HOUR(N3)*60)</f>
        <v>255</v>
      </c>
      <c r="V3" s="22">
        <f t="shared" ca="1" si="2"/>
        <v>0</v>
      </c>
      <c r="W3" s="7">
        <f ca="1">WEEKDAY(C3)</f>
        <v>4</v>
      </c>
      <c r="X3" s="19">
        <f t="shared" ref="X3:X33" ca="1" si="3">IF(AND(W3&lt;&gt;7,W3&lt;&gt;1),IF(W3=DiaSemanaIntensiva,HorasIntensiva,HorasOrdinarias),0)</f>
        <v>0.33333333333333331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0</v>
      </c>
      <c r="AA3" s="7">
        <f t="shared" ref="AA3:AA33" ca="1" si="6">MONTH(C3)</f>
        <v>4</v>
      </c>
    </row>
    <row r="4" spans="1:27" ht="15" thickBot="1" x14ac:dyDescent="0.4">
      <c r="A4" s="7">
        <v>2</v>
      </c>
      <c r="B4" s="11">
        <f t="shared" ref="B4:B32" ca="1" si="7">C4</f>
        <v>43923</v>
      </c>
      <c r="C4" s="12">
        <f t="shared" ca="1" si="0"/>
        <v>43923</v>
      </c>
      <c r="E4" s="29">
        <v>0.41666666666666669</v>
      </c>
      <c r="F4" s="23"/>
      <c r="G4" s="29">
        <v>0.71875</v>
      </c>
      <c r="H4" s="15"/>
      <c r="I4" s="29">
        <v>0.67708333333333337</v>
      </c>
      <c r="J4" s="24"/>
      <c r="K4" s="29">
        <v>0.79166666666666663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0.41666666666666657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0.33333333333333331</v>
      </c>
      <c r="O4" s="19">
        <f t="shared" ca="1" si="1"/>
        <v>8.3333333333333259E-2</v>
      </c>
      <c r="P4" s="9"/>
      <c r="Q4" s="30"/>
      <c r="R4" s="21" t="s">
        <v>8</v>
      </c>
      <c r="T4" s="22">
        <f t="shared" ref="T4:V33" ca="1" si="10">MINUTE(M4)+(HOUR(M4)*60)</f>
        <v>600</v>
      </c>
      <c r="U4" s="22">
        <f t="shared" ca="1" si="2"/>
        <v>480</v>
      </c>
      <c r="V4" s="22">
        <f t="shared" ca="1" si="2"/>
        <v>120</v>
      </c>
      <c r="W4" s="7">
        <f t="shared" ref="W4:W33" ca="1" si="11">WEEKDAY(C4)</f>
        <v>5</v>
      </c>
      <c r="X4" s="19">
        <f t="shared" ca="1" si="3"/>
        <v>0.33333333333333331</v>
      </c>
      <c r="Y4" s="7">
        <f t="shared" ca="1" si="4"/>
        <v>0</v>
      </c>
      <c r="Z4" s="7">
        <f t="shared" ca="1" si="5"/>
        <v>0</v>
      </c>
      <c r="AA4" s="7">
        <f t="shared" ca="1" si="6"/>
        <v>4</v>
      </c>
    </row>
    <row r="5" spans="1:27" ht="15" thickBot="1" x14ac:dyDescent="0.4">
      <c r="A5" s="7">
        <v>3</v>
      </c>
      <c r="B5" s="11">
        <f t="shared" ca="1" si="7"/>
        <v>43924</v>
      </c>
      <c r="C5" s="12">
        <f t="shared" ca="1" si="0"/>
        <v>43924</v>
      </c>
      <c r="D5" s="12"/>
      <c r="E5" s="29">
        <v>0.39583333333333331</v>
      </c>
      <c r="F5" s="23"/>
      <c r="G5" s="29">
        <v>0.5</v>
      </c>
      <c r="H5" s="15"/>
      <c r="I5" s="29">
        <v>0</v>
      </c>
      <c r="J5" s="24"/>
      <c r="K5" s="29">
        <v>0</v>
      </c>
      <c r="L5" s="9"/>
      <c r="M5" s="18">
        <f t="shared" ca="1" si="8"/>
        <v>0.10416666666666669</v>
      </c>
      <c r="N5" s="18">
        <f t="shared" ca="1" si="9"/>
        <v>0.10416666666666669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150</v>
      </c>
      <c r="U5" s="22">
        <f t="shared" ca="1" si="2"/>
        <v>150</v>
      </c>
      <c r="V5" s="22">
        <f t="shared" ca="1" si="2"/>
        <v>0</v>
      </c>
      <c r="W5" s="7">
        <f t="shared" ca="1" si="11"/>
        <v>6</v>
      </c>
      <c r="X5" s="19">
        <f t="shared" ca="1" si="3"/>
        <v>0.25</v>
      </c>
      <c r="Y5" s="7">
        <f t="shared" ca="1" si="4"/>
        <v>0</v>
      </c>
      <c r="Z5" s="7">
        <f t="shared" ca="1" si="5"/>
        <v>0</v>
      </c>
      <c r="AA5" s="7">
        <f t="shared" ca="1" si="6"/>
        <v>4</v>
      </c>
    </row>
    <row r="6" spans="1:27" ht="15" thickBot="1" x14ac:dyDescent="0.4">
      <c r="A6" s="7">
        <v>4</v>
      </c>
      <c r="B6" s="11">
        <f t="shared" ca="1" si="7"/>
        <v>43925</v>
      </c>
      <c r="C6" s="12">
        <f t="shared" ca="1" si="0"/>
        <v>43925</v>
      </c>
      <c r="E6" s="16" t="s">
        <v>3</v>
      </c>
      <c r="F6" s="23"/>
      <c r="G6" s="29">
        <v>0.5</v>
      </c>
      <c r="H6" s="15"/>
      <c r="I6" s="16" t="s">
        <v>5</v>
      </c>
      <c r="J6" s="24"/>
      <c r="K6" s="16" t="s">
        <v>6</v>
      </c>
      <c r="L6" s="9"/>
      <c r="M6" s="18">
        <f t="shared" ca="1" si="8"/>
        <v>0</v>
      </c>
      <c r="N6" s="18">
        <f t="shared" ca="1" si="9"/>
        <v>0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0</v>
      </c>
      <c r="U6" s="22">
        <f t="shared" ca="1" si="2"/>
        <v>0</v>
      </c>
      <c r="V6" s="22">
        <f t="shared" ca="1" si="2"/>
        <v>0</v>
      </c>
      <c r="W6" s="7">
        <f t="shared" ca="1" si="11"/>
        <v>7</v>
      </c>
      <c r="X6" s="19">
        <f t="shared" ca="1" si="3"/>
        <v>0</v>
      </c>
      <c r="Y6" s="7">
        <f t="shared" ca="1" si="4"/>
        <v>0</v>
      </c>
      <c r="Z6" s="7">
        <f t="shared" ca="1" si="5"/>
        <v>1</v>
      </c>
      <c r="AA6" s="7">
        <f t="shared" ca="1" si="6"/>
        <v>4</v>
      </c>
    </row>
    <row r="7" spans="1:27" ht="15" thickBot="1" x14ac:dyDescent="0.4">
      <c r="A7" s="7">
        <v>5</v>
      </c>
      <c r="B7" s="11">
        <f t="shared" ca="1" si="7"/>
        <v>43926</v>
      </c>
      <c r="C7" s="12">
        <f t="shared" ca="1" si="0"/>
        <v>43926</v>
      </c>
      <c r="D7" s="12"/>
      <c r="E7" s="16" t="s">
        <v>3</v>
      </c>
      <c r="F7" s="23"/>
      <c r="G7" s="16" t="s">
        <v>4</v>
      </c>
      <c r="H7" s="15"/>
      <c r="I7" s="16" t="s">
        <v>5</v>
      </c>
      <c r="J7" s="24"/>
      <c r="K7" s="16" t="s">
        <v>6</v>
      </c>
      <c r="L7" s="9"/>
      <c r="M7" s="18">
        <f t="shared" ca="1" si="8"/>
        <v>0</v>
      </c>
      <c r="N7" s="18">
        <f t="shared" ca="1" si="9"/>
        <v>0</v>
      </c>
      <c r="O7" s="19">
        <f t="shared" ca="1" si="1"/>
        <v>0</v>
      </c>
      <c r="P7" s="9"/>
      <c r="Q7" s="20"/>
      <c r="R7" s="21" t="s">
        <v>8</v>
      </c>
      <c r="T7" s="22">
        <f t="shared" ca="1" si="10"/>
        <v>0</v>
      </c>
      <c r="U7" s="22">
        <f t="shared" ca="1" si="2"/>
        <v>0</v>
      </c>
      <c r="V7" s="22">
        <f t="shared" ca="1" si="2"/>
        <v>0</v>
      </c>
      <c r="W7" s="7">
        <f t="shared" ca="1" si="11"/>
        <v>1</v>
      </c>
      <c r="X7" s="19">
        <f t="shared" ca="1" si="3"/>
        <v>0</v>
      </c>
      <c r="Y7" s="7">
        <f t="shared" ca="1" si="4"/>
        <v>0</v>
      </c>
      <c r="Z7" s="7">
        <f t="shared" ca="1" si="5"/>
        <v>1</v>
      </c>
      <c r="AA7" s="7">
        <f t="shared" ca="1" si="6"/>
        <v>4</v>
      </c>
    </row>
    <row r="8" spans="1:27" ht="15" thickBot="1" x14ac:dyDescent="0.4">
      <c r="A8" s="7">
        <v>6</v>
      </c>
      <c r="B8" s="11">
        <f t="shared" ca="1" si="7"/>
        <v>43927</v>
      </c>
      <c r="C8" s="12">
        <f t="shared" ca="1" si="0"/>
        <v>43927</v>
      </c>
      <c r="E8" s="29">
        <v>0.39583333333333331</v>
      </c>
      <c r="F8" s="23"/>
      <c r="G8" s="29">
        <v>0.58333333333333337</v>
      </c>
      <c r="H8" s="15"/>
      <c r="I8" s="29">
        <v>0.63541666666666663</v>
      </c>
      <c r="J8" s="24"/>
      <c r="K8" s="29">
        <v>0.77083333333333337</v>
      </c>
      <c r="L8" s="9"/>
      <c r="M8" s="18">
        <f t="shared" ca="1" si="8"/>
        <v>0.3229166666666668</v>
      </c>
      <c r="N8" s="18">
        <f t="shared" ca="1" si="9"/>
        <v>0.3229166666666668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465</v>
      </c>
      <c r="U8" s="22">
        <f t="shared" ca="1" si="2"/>
        <v>465</v>
      </c>
      <c r="V8" s="22">
        <f t="shared" ca="1" si="2"/>
        <v>0</v>
      </c>
      <c r="W8" s="7">
        <f t="shared" ca="1" si="11"/>
        <v>2</v>
      </c>
      <c r="X8" s="19">
        <f t="shared" ca="1" si="3"/>
        <v>0.33333333333333331</v>
      </c>
      <c r="Y8" s="7">
        <f t="shared" ca="1" si="4"/>
        <v>0</v>
      </c>
      <c r="Z8" s="7">
        <f t="shared" ca="1" si="5"/>
        <v>0</v>
      </c>
      <c r="AA8" s="7">
        <f t="shared" ca="1" si="6"/>
        <v>4</v>
      </c>
    </row>
    <row r="9" spans="1:27" ht="15" thickBot="1" x14ac:dyDescent="0.4">
      <c r="A9" s="7">
        <v>7</v>
      </c>
      <c r="B9" s="11">
        <f t="shared" ca="1" si="7"/>
        <v>43928</v>
      </c>
      <c r="C9" s="12">
        <f t="shared" ca="1" si="0"/>
        <v>43928</v>
      </c>
      <c r="D9" s="12"/>
      <c r="E9" s="29">
        <v>0.39583333333333331</v>
      </c>
      <c r="F9" s="23"/>
      <c r="G9" s="29">
        <v>0.58333333333333337</v>
      </c>
      <c r="H9" s="23"/>
      <c r="I9" s="29">
        <v>0.63541666666666663</v>
      </c>
      <c r="J9" s="24"/>
      <c r="K9" s="29">
        <v>0.77083333333333337</v>
      </c>
      <c r="L9" s="9"/>
      <c r="M9" s="18">
        <f t="shared" ca="1" si="8"/>
        <v>0.3229166666666668</v>
      </c>
      <c r="N9" s="18">
        <f t="shared" ca="1" si="9"/>
        <v>0.3229166666666668</v>
      </c>
      <c r="O9" s="19">
        <f t="shared" ca="1" si="1"/>
        <v>0</v>
      </c>
      <c r="P9" s="9"/>
      <c r="Q9" s="30"/>
      <c r="R9" s="21" t="s">
        <v>15</v>
      </c>
      <c r="T9" s="22">
        <f t="shared" ca="1" si="10"/>
        <v>465</v>
      </c>
      <c r="U9" s="22">
        <f t="shared" ca="1" si="2"/>
        <v>465</v>
      </c>
      <c r="V9" s="22">
        <f t="shared" ca="1" si="2"/>
        <v>0</v>
      </c>
      <c r="W9" s="7">
        <f t="shared" ca="1" si="11"/>
        <v>3</v>
      </c>
      <c r="X9" s="19">
        <f t="shared" ca="1" si="3"/>
        <v>0.33333333333333331</v>
      </c>
      <c r="Y9" s="7">
        <f t="shared" ca="1" si="4"/>
        <v>0</v>
      </c>
      <c r="Z9" s="7">
        <f t="shared" ca="1" si="5"/>
        <v>0</v>
      </c>
      <c r="AA9" s="7">
        <f t="shared" ca="1" si="6"/>
        <v>4</v>
      </c>
    </row>
    <row r="10" spans="1:27" ht="15" thickBot="1" x14ac:dyDescent="0.4">
      <c r="A10" s="7">
        <v>8</v>
      </c>
      <c r="B10" s="11">
        <f t="shared" ca="1" si="7"/>
        <v>43929</v>
      </c>
      <c r="C10" s="12">
        <f t="shared" ca="1" si="0"/>
        <v>43929</v>
      </c>
      <c r="E10" s="29">
        <v>0.39583333333333331</v>
      </c>
      <c r="F10" s="23"/>
      <c r="G10" s="29">
        <v>0.58333333333333337</v>
      </c>
      <c r="H10" s="23"/>
      <c r="I10" s="29">
        <v>0.63541666666666663</v>
      </c>
      <c r="J10" s="24"/>
      <c r="K10" s="29">
        <v>0.77083333333333337</v>
      </c>
      <c r="L10" s="9"/>
      <c r="M10" s="18">
        <f t="shared" ca="1" si="8"/>
        <v>0.3229166666666668</v>
      </c>
      <c r="N10" s="18">
        <f t="shared" ca="1" si="9"/>
        <v>0.3229166666666668</v>
      </c>
      <c r="O10" s="19">
        <f t="shared" ca="1" si="1"/>
        <v>0</v>
      </c>
      <c r="P10" s="9"/>
      <c r="Q10" s="20"/>
      <c r="R10" s="21" t="s">
        <v>15</v>
      </c>
      <c r="T10" s="22">
        <f t="shared" ca="1" si="10"/>
        <v>465</v>
      </c>
      <c r="U10" s="22">
        <f t="shared" ca="1" si="2"/>
        <v>465</v>
      </c>
      <c r="V10" s="22">
        <f t="shared" ca="1" si="2"/>
        <v>0</v>
      </c>
      <c r="W10" s="7">
        <f t="shared" ca="1" si="11"/>
        <v>4</v>
      </c>
      <c r="X10" s="19">
        <f t="shared" ca="1" si="3"/>
        <v>0.33333333333333331</v>
      </c>
      <c r="Y10" s="7">
        <f t="shared" ca="1" si="4"/>
        <v>0</v>
      </c>
      <c r="Z10" s="7">
        <f t="shared" ca="1" si="5"/>
        <v>0</v>
      </c>
      <c r="AA10" s="7">
        <f t="shared" ca="1" si="6"/>
        <v>4</v>
      </c>
    </row>
    <row r="11" spans="1:27" ht="15" thickBot="1" x14ac:dyDescent="0.4">
      <c r="A11" s="7">
        <v>9</v>
      </c>
      <c r="B11" s="11">
        <f t="shared" ca="1" si="7"/>
        <v>43930</v>
      </c>
      <c r="C11" s="12">
        <f t="shared" ca="1" si="0"/>
        <v>43930</v>
      </c>
      <c r="D11" s="12"/>
      <c r="E11" s="29">
        <v>0.39583333333333331</v>
      </c>
      <c r="F11" s="23"/>
      <c r="G11" s="29">
        <v>0.58333333333333337</v>
      </c>
      <c r="H11" s="15"/>
      <c r="I11" s="29">
        <v>0.63541666666666663</v>
      </c>
      <c r="J11" s="24"/>
      <c r="K11" s="29">
        <v>0.77083333333333337</v>
      </c>
      <c r="L11" s="9"/>
      <c r="M11" s="18">
        <f t="shared" ca="1" si="8"/>
        <v>0.3229166666666668</v>
      </c>
      <c r="N11" s="18">
        <f t="shared" ca="1" si="9"/>
        <v>0.3229166666666668</v>
      </c>
      <c r="O11" s="19">
        <f t="shared" ca="1" si="1"/>
        <v>0</v>
      </c>
      <c r="P11" s="9"/>
      <c r="Q11" s="30"/>
      <c r="R11" s="21" t="s">
        <v>15</v>
      </c>
      <c r="T11" s="22">
        <f t="shared" ca="1" si="10"/>
        <v>465</v>
      </c>
      <c r="U11" s="22">
        <f t="shared" ca="1" si="2"/>
        <v>465</v>
      </c>
      <c r="V11" s="22">
        <f t="shared" ca="1" si="2"/>
        <v>0</v>
      </c>
      <c r="W11" s="7">
        <f t="shared" ca="1" si="11"/>
        <v>5</v>
      </c>
      <c r="X11" s="19">
        <f t="shared" ca="1" si="3"/>
        <v>0.33333333333333331</v>
      </c>
      <c r="Y11" s="7">
        <f t="shared" ca="1" si="4"/>
        <v>0</v>
      </c>
      <c r="Z11" s="7">
        <f t="shared" ca="1" si="5"/>
        <v>0</v>
      </c>
      <c r="AA11" s="7">
        <f t="shared" ca="1" si="6"/>
        <v>4</v>
      </c>
    </row>
    <row r="12" spans="1:27" ht="15" thickBot="1" x14ac:dyDescent="0.4">
      <c r="A12" s="7">
        <v>10</v>
      </c>
      <c r="B12" s="11">
        <f t="shared" ca="1" si="7"/>
        <v>43931</v>
      </c>
      <c r="C12" s="12">
        <f t="shared" ca="1" si="0"/>
        <v>43931</v>
      </c>
      <c r="E12" s="29">
        <v>0.39583333333333331</v>
      </c>
      <c r="F12" s="23"/>
      <c r="G12" s="29">
        <v>0.5</v>
      </c>
      <c r="H12" s="15"/>
      <c r="I12" s="29">
        <v>0</v>
      </c>
      <c r="J12" s="24"/>
      <c r="K12" s="29">
        <v>0</v>
      </c>
      <c r="L12" s="9"/>
      <c r="M12" s="18">
        <f t="shared" ca="1" si="8"/>
        <v>0.10416666666666669</v>
      </c>
      <c r="N12" s="18">
        <f t="shared" ca="1" si="9"/>
        <v>0.10416666666666669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150</v>
      </c>
      <c r="U12" s="22">
        <f t="shared" ca="1" si="2"/>
        <v>150</v>
      </c>
      <c r="V12" s="22">
        <f t="shared" ca="1" si="2"/>
        <v>0</v>
      </c>
      <c r="W12" s="7">
        <f t="shared" ca="1" si="11"/>
        <v>6</v>
      </c>
      <c r="X12" s="19">
        <f t="shared" ca="1" si="3"/>
        <v>0.25</v>
      </c>
      <c r="Y12" s="7">
        <f t="shared" ca="1" si="4"/>
        <v>0</v>
      </c>
      <c r="Z12" s="7">
        <f t="shared" ca="1" si="5"/>
        <v>0</v>
      </c>
      <c r="AA12" s="7">
        <f t="shared" ca="1" si="6"/>
        <v>4</v>
      </c>
    </row>
    <row r="13" spans="1:27" ht="15" thickBot="1" x14ac:dyDescent="0.4">
      <c r="A13" s="7">
        <v>11</v>
      </c>
      <c r="B13" s="11">
        <f t="shared" ca="1" si="7"/>
        <v>43932</v>
      </c>
      <c r="C13" s="12">
        <f t="shared" ca="1" si="0"/>
        <v>43932</v>
      </c>
      <c r="D13" s="12"/>
      <c r="E13" s="16" t="s">
        <v>3</v>
      </c>
      <c r="F13" s="23"/>
      <c r="G13" s="16" t="s">
        <v>4</v>
      </c>
      <c r="H13" s="15"/>
      <c r="I13" s="16" t="s">
        <v>5</v>
      </c>
      <c r="J13" s="24"/>
      <c r="K13" s="16" t="s">
        <v>6</v>
      </c>
      <c r="L13" s="9"/>
      <c r="M13" s="18">
        <f t="shared" ca="1" si="8"/>
        <v>0</v>
      </c>
      <c r="N13" s="18">
        <f t="shared" ca="1" si="9"/>
        <v>0</v>
      </c>
      <c r="O13" s="19">
        <f t="shared" ca="1" si="1"/>
        <v>0</v>
      </c>
      <c r="P13" s="9"/>
      <c r="Q13" s="20"/>
      <c r="R13" s="21" t="s">
        <v>8</v>
      </c>
      <c r="T13" s="22">
        <f t="shared" ca="1" si="10"/>
        <v>0</v>
      </c>
      <c r="U13" s="22">
        <f t="shared" ca="1" si="2"/>
        <v>0</v>
      </c>
      <c r="V13" s="22">
        <f t="shared" ca="1" si="2"/>
        <v>0</v>
      </c>
      <c r="W13" s="7">
        <f t="shared" ca="1" si="11"/>
        <v>7</v>
      </c>
      <c r="X13" s="19">
        <f t="shared" ca="1" si="3"/>
        <v>0</v>
      </c>
      <c r="Y13" s="7">
        <f t="shared" ca="1" si="4"/>
        <v>0</v>
      </c>
      <c r="Z13" s="7">
        <f t="shared" ca="1" si="5"/>
        <v>1</v>
      </c>
      <c r="AA13" s="7">
        <f t="shared" ca="1" si="6"/>
        <v>4</v>
      </c>
    </row>
    <row r="14" spans="1:27" ht="15" thickBot="1" x14ac:dyDescent="0.4">
      <c r="A14" s="7">
        <v>12</v>
      </c>
      <c r="B14" s="11">
        <f t="shared" ca="1" si="7"/>
        <v>43933</v>
      </c>
      <c r="C14" s="12">
        <f t="shared" ca="1" si="0"/>
        <v>43933</v>
      </c>
      <c r="E14" s="16" t="s">
        <v>3</v>
      </c>
      <c r="F14" s="23"/>
      <c r="G14" s="16" t="s">
        <v>4</v>
      </c>
      <c r="H14" s="15"/>
      <c r="I14" s="16" t="s">
        <v>5</v>
      </c>
      <c r="J14" s="24"/>
      <c r="K14" s="16" t="s">
        <v>6</v>
      </c>
      <c r="L14" s="9"/>
      <c r="M14" s="18">
        <f t="shared" ca="1" si="8"/>
        <v>0</v>
      </c>
      <c r="N14" s="18">
        <f t="shared" ca="1" si="9"/>
        <v>0</v>
      </c>
      <c r="O14" s="19">
        <f t="shared" ca="1" si="1"/>
        <v>0</v>
      </c>
      <c r="P14" s="9"/>
      <c r="Q14" s="20"/>
      <c r="R14" s="21" t="s">
        <v>8</v>
      </c>
      <c r="T14" s="22">
        <f t="shared" ca="1" si="10"/>
        <v>0</v>
      </c>
      <c r="U14" s="22">
        <f t="shared" ca="1" si="2"/>
        <v>0</v>
      </c>
      <c r="V14" s="22">
        <f t="shared" ca="1" si="2"/>
        <v>0</v>
      </c>
      <c r="W14" s="7">
        <f t="shared" ca="1" si="11"/>
        <v>1</v>
      </c>
      <c r="X14" s="19">
        <f t="shared" ca="1" si="3"/>
        <v>0</v>
      </c>
      <c r="Y14" s="7">
        <f t="shared" ca="1" si="4"/>
        <v>0</v>
      </c>
      <c r="Z14" s="7">
        <f t="shared" ca="1" si="5"/>
        <v>1</v>
      </c>
      <c r="AA14" s="7">
        <f t="shared" ca="1" si="6"/>
        <v>4</v>
      </c>
    </row>
    <row r="15" spans="1:27" ht="15" thickBot="1" x14ac:dyDescent="0.4">
      <c r="A15" s="7">
        <v>13</v>
      </c>
      <c r="B15" s="11">
        <f t="shared" ca="1" si="7"/>
        <v>43934</v>
      </c>
      <c r="C15" s="12">
        <f t="shared" ca="1" si="0"/>
        <v>43934</v>
      </c>
      <c r="D15" s="12"/>
      <c r="E15" s="29">
        <v>0.39583333333333331</v>
      </c>
      <c r="F15" s="23"/>
      <c r="G15" s="29">
        <v>0.58333333333333337</v>
      </c>
      <c r="H15" s="15"/>
      <c r="I15" s="29">
        <v>0.63541666666666663</v>
      </c>
      <c r="J15" s="24"/>
      <c r="K15" s="29">
        <v>0.77083333333333337</v>
      </c>
      <c r="L15" s="9"/>
      <c r="M15" s="18">
        <f t="shared" ca="1" si="8"/>
        <v>0.3229166666666668</v>
      </c>
      <c r="N15" s="18">
        <f t="shared" ca="1" si="9"/>
        <v>0.3229166666666668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465</v>
      </c>
      <c r="U15" s="22">
        <f t="shared" ca="1" si="2"/>
        <v>465</v>
      </c>
      <c r="V15" s="22">
        <f t="shared" ca="1" si="2"/>
        <v>0</v>
      </c>
      <c r="W15" s="7">
        <f t="shared" ca="1" si="11"/>
        <v>2</v>
      </c>
      <c r="X15" s="19">
        <f t="shared" ca="1" si="3"/>
        <v>0.33333333333333331</v>
      </c>
      <c r="Y15" s="7">
        <f t="shared" ca="1" si="4"/>
        <v>0</v>
      </c>
      <c r="Z15" s="7">
        <f t="shared" ca="1" si="5"/>
        <v>0</v>
      </c>
      <c r="AA15" s="7">
        <f t="shared" ca="1" si="6"/>
        <v>4</v>
      </c>
    </row>
    <row r="16" spans="1:27" ht="15" thickBot="1" x14ac:dyDescent="0.4">
      <c r="A16" s="7">
        <v>14</v>
      </c>
      <c r="B16" s="11">
        <f t="shared" ca="1" si="7"/>
        <v>43935</v>
      </c>
      <c r="C16" s="12">
        <f t="shared" ca="1" si="0"/>
        <v>43935</v>
      </c>
      <c r="E16" s="29">
        <v>0.39583333333333331</v>
      </c>
      <c r="F16" s="23"/>
      <c r="G16" s="29">
        <v>0.58333333333333337</v>
      </c>
      <c r="H16" s="15"/>
      <c r="I16" s="29">
        <v>0.63541666666666663</v>
      </c>
      <c r="J16" s="24"/>
      <c r="K16" s="29">
        <v>0.77083333333333337</v>
      </c>
      <c r="L16" s="9"/>
      <c r="M16" s="18">
        <f t="shared" ca="1" si="8"/>
        <v>0.3229166666666668</v>
      </c>
      <c r="N16" s="18">
        <f t="shared" ca="1" si="9"/>
        <v>0.3229166666666668</v>
      </c>
      <c r="O16" s="19">
        <f t="shared" ca="1" si="1"/>
        <v>0</v>
      </c>
      <c r="P16" s="9"/>
      <c r="Q16" s="30"/>
      <c r="R16" s="21" t="s">
        <v>15</v>
      </c>
      <c r="T16" s="22">
        <f t="shared" ca="1" si="10"/>
        <v>465</v>
      </c>
      <c r="U16" s="22">
        <f t="shared" ca="1" si="2"/>
        <v>465</v>
      </c>
      <c r="V16" s="22">
        <f t="shared" ca="1" si="2"/>
        <v>0</v>
      </c>
      <c r="W16" s="7">
        <f t="shared" ca="1" si="11"/>
        <v>3</v>
      </c>
      <c r="X16" s="19">
        <f t="shared" ca="1" si="3"/>
        <v>0.33333333333333331</v>
      </c>
      <c r="Y16" s="7">
        <f t="shared" ca="1" si="4"/>
        <v>0</v>
      </c>
      <c r="Z16" s="7">
        <f t="shared" ca="1" si="5"/>
        <v>0</v>
      </c>
      <c r="AA16" s="7">
        <f t="shared" ca="1" si="6"/>
        <v>4</v>
      </c>
    </row>
    <row r="17" spans="1:27" ht="15" thickBot="1" x14ac:dyDescent="0.4">
      <c r="A17" s="7">
        <v>15</v>
      </c>
      <c r="B17" s="11">
        <f t="shared" ca="1" si="7"/>
        <v>43936</v>
      </c>
      <c r="C17" s="12">
        <f t="shared" ca="1" si="0"/>
        <v>43936</v>
      </c>
      <c r="D17" s="12"/>
      <c r="E17" s="29">
        <v>0.39583333333333331</v>
      </c>
      <c r="F17" s="23"/>
      <c r="G17" s="29">
        <v>0.58333333333333337</v>
      </c>
      <c r="H17" s="23"/>
      <c r="I17" s="29">
        <v>0.63541666666666663</v>
      </c>
      <c r="J17" s="24"/>
      <c r="K17" s="29">
        <v>0.77083333333333337</v>
      </c>
      <c r="L17" s="9"/>
      <c r="M17" s="18">
        <f t="shared" ca="1" si="8"/>
        <v>0.3229166666666668</v>
      </c>
      <c r="N17" s="18">
        <f t="shared" ca="1" si="9"/>
        <v>0.3229166666666668</v>
      </c>
      <c r="O17" s="19">
        <f t="shared" ca="1" si="1"/>
        <v>0</v>
      </c>
      <c r="P17" s="9"/>
      <c r="Q17" s="30"/>
      <c r="R17" s="21" t="s">
        <v>15</v>
      </c>
      <c r="T17" s="22">
        <f t="shared" ca="1" si="10"/>
        <v>465</v>
      </c>
      <c r="U17" s="22">
        <f t="shared" ca="1" si="2"/>
        <v>465</v>
      </c>
      <c r="V17" s="22">
        <f t="shared" ca="1" si="2"/>
        <v>0</v>
      </c>
      <c r="W17" s="7">
        <f t="shared" ca="1" si="11"/>
        <v>4</v>
      </c>
      <c r="X17" s="19">
        <f t="shared" ca="1" si="3"/>
        <v>0.33333333333333331</v>
      </c>
      <c r="Y17" s="7">
        <f t="shared" ca="1" si="4"/>
        <v>0</v>
      </c>
      <c r="Z17" s="7">
        <f t="shared" ca="1" si="5"/>
        <v>0</v>
      </c>
      <c r="AA17" s="7">
        <f t="shared" ca="1" si="6"/>
        <v>4</v>
      </c>
    </row>
    <row r="18" spans="1:27" ht="15" thickBot="1" x14ac:dyDescent="0.4">
      <c r="A18" s="7">
        <v>16</v>
      </c>
      <c r="B18" s="11">
        <f t="shared" ca="1" si="7"/>
        <v>43937</v>
      </c>
      <c r="C18" s="12">
        <f t="shared" ca="1" si="0"/>
        <v>43937</v>
      </c>
      <c r="E18" s="29">
        <v>0.65625</v>
      </c>
      <c r="F18" s="23"/>
      <c r="G18" s="29">
        <v>0.73958333333333337</v>
      </c>
      <c r="H18" s="23"/>
      <c r="I18" s="29">
        <v>0</v>
      </c>
      <c r="J18" s="24"/>
      <c r="K18" s="29">
        <v>0</v>
      </c>
      <c r="L18" s="9"/>
      <c r="M18" s="18">
        <f t="shared" ca="1" si="8"/>
        <v>8.333333333333337E-2</v>
      </c>
      <c r="N18" s="18">
        <f t="shared" ca="1" si="9"/>
        <v>8.333333333333337E-2</v>
      </c>
      <c r="O18" s="19">
        <f t="shared" ca="1" si="1"/>
        <v>0</v>
      </c>
      <c r="P18" s="9"/>
      <c r="Q18" s="30"/>
      <c r="R18" s="21" t="s">
        <v>8</v>
      </c>
      <c r="T18" s="22">
        <f t="shared" ca="1" si="10"/>
        <v>120</v>
      </c>
      <c r="U18" s="22">
        <f t="shared" ca="1" si="2"/>
        <v>120</v>
      </c>
      <c r="V18" s="22">
        <f t="shared" ca="1" si="2"/>
        <v>0</v>
      </c>
      <c r="W18" s="7">
        <f t="shared" ca="1" si="11"/>
        <v>5</v>
      </c>
      <c r="X18" s="19">
        <f t="shared" ca="1" si="3"/>
        <v>0.33333333333333331</v>
      </c>
      <c r="Y18" s="7">
        <f t="shared" ca="1" si="4"/>
        <v>0</v>
      </c>
      <c r="Z18" s="7">
        <f t="shared" ca="1" si="5"/>
        <v>0</v>
      </c>
      <c r="AA18" s="7">
        <f t="shared" ca="1" si="6"/>
        <v>4</v>
      </c>
    </row>
    <row r="19" spans="1:27" ht="15" thickBot="1" x14ac:dyDescent="0.4">
      <c r="A19" s="7">
        <v>17</v>
      </c>
      <c r="B19" s="11">
        <f t="shared" ca="1" si="7"/>
        <v>43938</v>
      </c>
      <c r="C19" s="12">
        <f t="shared" ca="1" si="0"/>
        <v>43938</v>
      </c>
      <c r="D19" s="12"/>
      <c r="E19" s="29">
        <v>0.39583333333333331</v>
      </c>
      <c r="F19" s="23"/>
      <c r="G19" s="29">
        <v>0.5</v>
      </c>
      <c r="H19" s="15"/>
      <c r="I19" s="29">
        <v>0</v>
      </c>
      <c r="J19" s="24"/>
      <c r="K19" s="29">
        <v>0</v>
      </c>
      <c r="L19" s="9"/>
      <c r="M19" s="18">
        <f t="shared" ca="1" si="8"/>
        <v>0.10416666666666669</v>
      </c>
      <c r="N19" s="18">
        <f t="shared" ca="1" si="9"/>
        <v>0.10416666666666669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150</v>
      </c>
      <c r="U19" s="22">
        <f t="shared" ca="1" si="10"/>
        <v>150</v>
      </c>
      <c r="V19" s="22">
        <f t="shared" ca="1" si="10"/>
        <v>0</v>
      </c>
      <c r="W19" s="7">
        <f t="shared" ca="1" si="11"/>
        <v>6</v>
      </c>
      <c r="X19" s="19">
        <f t="shared" ca="1" si="3"/>
        <v>0.25</v>
      </c>
      <c r="Y19" s="7">
        <f t="shared" ca="1" si="4"/>
        <v>0</v>
      </c>
      <c r="Z19" s="7">
        <f t="shared" ca="1" si="5"/>
        <v>0</v>
      </c>
      <c r="AA19" s="7">
        <f t="shared" ca="1" si="6"/>
        <v>4</v>
      </c>
    </row>
    <row r="20" spans="1:27" ht="15" thickBot="1" x14ac:dyDescent="0.4">
      <c r="A20" s="7">
        <v>18</v>
      </c>
      <c r="B20" s="11">
        <f t="shared" ca="1" si="7"/>
        <v>43939</v>
      </c>
      <c r="C20" s="12">
        <f t="shared" ca="1" si="0"/>
        <v>43939</v>
      </c>
      <c r="E20" s="16" t="s">
        <v>3</v>
      </c>
      <c r="F20" s="23"/>
      <c r="G20" s="16" t="s">
        <v>4</v>
      </c>
      <c r="H20" s="15"/>
      <c r="I20" s="16" t="s">
        <v>30</v>
      </c>
      <c r="J20" s="24"/>
      <c r="K20" s="16" t="s">
        <v>34</v>
      </c>
      <c r="L20" s="9"/>
      <c r="M20" s="18">
        <f t="shared" ca="1" si="8"/>
        <v>0</v>
      </c>
      <c r="N20" s="18">
        <f t="shared" ca="1" si="9"/>
        <v>0</v>
      </c>
      <c r="O20" s="19">
        <f t="shared" ca="1" si="1"/>
        <v>0</v>
      </c>
      <c r="P20" s="9"/>
      <c r="Q20" s="20"/>
      <c r="R20" s="21" t="s">
        <v>8</v>
      </c>
      <c r="T20" s="22">
        <f t="shared" ca="1" si="10"/>
        <v>0</v>
      </c>
      <c r="U20" s="22">
        <f t="shared" ca="1" si="10"/>
        <v>0</v>
      </c>
      <c r="V20" s="22">
        <f t="shared" ca="1" si="10"/>
        <v>0</v>
      </c>
      <c r="W20" s="7">
        <f t="shared" ca="1" si="11"/>
        <v>7</v>
      </c>
      <c r="X20" s="19">
        <f t="shared" ca="1" si="3"/>
        <v>0</v>
      </c>
      <c r="Y20" s="7">
        <f t="shared" ca="1" si="4"/>
        <v>0</v>
      </c>
      <c r="Z20" s="7">
        <f t="shared" ca="1" si="5"/>
        <v>1</v>
      </c>
      <c r="AA20" s="7">
        <f t="shared" ca="1" si="6"/>
        <v>4</v>
      </c>
    </row>
    <row r="21" spans="1:27" ht="15" thickBot="1" x14ac:dyDescent="0.4">
      <c r="A21" s="7">
        <v>19</v>
      </c>
      <c r="B21" s="11">
        <f t="shared" ca="1" si="7"/>
        <v>43940</v>
      </c>
      <c r="C21" s="12">
        <f t="shared" ca="1" si="0"/>
        <v>43940</v>
      </c>
      <c r="D21" s="12"/>
      <c r="E21" s="16" t="s">
        <v>3</v>
      </c>
      <c r="F21" s="23"/>
      <c r="G21" s="29">
        <v>0.5</v>
      </c>
      <c r="H21" s="15"/>
      <c r="I21" s="16" t="s">
        <v>31</v>
      </c>
      <c r="J21" s="24"/>
      <c r="K21" s="16" t="s">
        <v>35</v>
      </c>
      <c r="L21" s="9"/>
      <c r="M21" s="18">
        <f t="shared" ca="1" si="8"/>
        <v>0</v>
      </c>
      <c r="N21" s="18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0</v>
      </c>
      <c r="U21" s="22">
        <f t="shared" ca="1" si="10"/>
        <v>0</v>
      </c>
      <c r="V21" s="22">
        <f t="shared" ca="1" si="10"/>
        <v>0</v>
      </c>
      <c r="W21" s="7">
        <f t="shared" ca="1" si="11"/>
        <v>1</v>
      </c>
      <c r="X21" s="19">
        <f t="shared" ca="1" si="3"/>
        <v>0</v>
      </c>
      <c r="Y21" s="7">
        <f t="shared" ca="1" si="4"/>
        <v>0</v>
      </c>
      <c r="Z21" s="7">
        <f t="shared" ca="1" si="5"/>
        <v>1</v>
      </c>
      <c r="AA21" s="7">
        <f t="shared" ca="1" si="6"/>
        <v>4</v>
      </c>
    </row>
    <row r="22" spans="1:27" ht="15" thickBot="1" x14ac:dyDescent="0.4">
      <c r="A22" s="7">
        <v>20</v>
      </c>
      <c r="B22" s="11">
        <f t="shared" ca="1" si="7"/>
        <v>43941</v>
      </c>
      <c r="C22" s="12">
        <f t="shared" ca="1" si="0"/>
        <v>43941</v>
      </c>
      <c r="E22" s="29">
        <v>0.39583333333333331</v>
      </c>
      <c r="F22" s="23"/>
      <c r="G22" s="29">
        <v>0.58333333333333337</v>
      </c>
      <c r="H22" s="15"/>
      <c r="I22" s="29">
        <v>0.63541666666666663</v>
      </c>
      <c r="J22" s="24"/>
      <c r="K22" s="29">
        <v>0.77083333333333337</v>
      </c>
      <c r="L22" s="9"/>
      <c r="M22" s="18">
        <f t="shared" ca="1" si="8"/>
        <v>0.3229166666666668</v>
      </c>
      <c r="N22" s="18">
        <f t="shared" ca="1" si="9"/>
        <v>0.3229166666666668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465</v>
      </c>
      <c r="U22" s="22">
        <f t="shared" ca="1" si="10"/>
        <v>465</v>
      </c>
      <c r="V22" s="22">
        <f t="shared" ca="1" si="10"/>
        <v>0</v>
      </c>
      <c r="W22" s="7">
        <f t="shared" ca="1" si="11"/>
        <v>2</v>
      </c>
      <c r="X22" s="19">
        <f t="shared" ca="1" si="3"/>
        <v>0.33333333333333331</v>
      </c>
      <c r="Y22" s="7">
        <f t="shared" ca="1" si="4"/>
        <v>0</v>
      </c>
      <c r="Z22" s="7">
        <f t="shared" ca="1" si="5"/>
        <v>0</v>
      </c>
      <c r="AA22" s="7">
        <f t="shared" ca="1" si="6"/>
        <v>4</v>
      </c>
    </row>
    <row r="23" spans="1:27" ht="15" thickBot="1" x14ac:dyDescent="0.4">
      <c r="A23" s="7">
        <v>21</v>
      </c>
      <c r="B23" s="11">
        <f t="shared" ca="1" si="7"/>
        <v>43942</v>
      </c>
      <c r="C23" s="12">
        <f t="shared" ca="1" si="0"/>
        <v>43942</v>
      </c>
      <c r="D23" s="12"/>
      <c r="E23" s="29">
        <v>0.39583333333333331</v>
      </c>
      <c r="F23" s="23"/>
      <c r="G23" s="29">
        <v>0.58333333333333337</v>
      </c>
      <c r="H23" s="15"/>
      <c r="I23" s="29">
        <v>0.63541666666666663</v>
      </c>
      <c r="J23" s="24"/>
      <c r="K23" s="29">
        <v>0.77083333333333337</v>
      </c>
      <c r="L23" s="9"/>
      <c r="M23" s="18">
        <f t="shared" ca="1" si="8"/>
        <v>0.3229166666666668</v>
      </c>
      <c r="N23" s="18">
        <f t="shared" ca="1" si="9"/>
        <v>0.3229166666666668</v>
      </c>
      <c r="O23" s="19">
        <f t="shared" ca="1" si="1"/>
        <v>0</v>
      </c>
      <c r="P23" s="9"/>
      <c r="Q23" s="30"/>
      <c r="R23" s="21" t="s">
        <v>15</v>
      </c>
      <c r="T23" s="22">
        <f t="shared" ca="1" si="10"/>
        <v>465</v>
      </c>
      <c r="U23" s="22">
        <f t="shared" ca="1" si="10"/>
        <v>465</v>
      </c>
      <c r="V23" s="22">
        <f t="shared" ca="1" si="10"/>
        <v>0</v>
      </c>
      <c r="W23" s="7">
        <f t="shared" ca="1" si="11"/>
        <v>3</v>
      </c>
      <c r="X23" s="19">
        <f t="shared" ca="1" si="3"/>
        <v>0.33333333333333331</v>
      </c>
      <c r="Y23" s="7">
        <f t="shared" ca="1" si="4"/>
        <v>0</v>
      </c>
      <c r="Z23" s="7">
        <f t="shared" ca="1" si="5"/>
        <v>0</v>
      </c>
      <c r="AA23" s="7">
        <f t="shared" ca="1" si="6"/>
        <v>4</v>
      </c>
    </row>
    <row r="24" spans="1:27" ht="15" thickBot="1" x14ac:dyDescent="0.4">
      <c r="A24" s="7">
        <v>22</v>
      </c>
      <c r="B24" s="11">
        <f t="shared" ca="1" si="7"/>
        <v>43943</v>
      </c>
      <c r="C24" s="12">
        <f t="shared" ca="1" si="0"/>
        <v>43943</v>
      </c>
      <c r="E24" s="29">
        <v>0.39583333333333331</v>
      </c>
      <c r="F24" s="23"/>
      <c r="G24" s="29">
        <v>0.58333333333333337</v>
      </c>
      <c r="H24" s="15"/>
      <c r="I24" s="29">
        <v>0.63541666666666663</v>
      </c>
      <c r="J24" s="24"/>
      <c r="K24" s="29">
        <v>0.77083333333333337</v>
      </c>
      <c r="L24" s="9"/>
      <c r="M24" s="18">
        <f t="shared" ca="1" si="8"/>
        <v>0.3229166666666668</v>
      </c>
      <c r="N24" s="18">
        <f t="shared" ca="1" si="9"/>
        <v>0.3229166666666668</v>
      </c>
      <c r="O24" s="19">
        <f t="shared" ca="1" si="1"/>
        <v>0</v>
      </c>
      <c r="P24" s="9"/>
      <c r="Q24" s="30"/>
      <c r="R24" s="21" t="s">
        <v>15</v>
      </c>
      <c r="T24" s="22">
        <f t="shared" ca="1" si="10"/>
        <v>465</v>
      </c>
      <c r="U24" s="22">
        <f t="shared" ca="1" si="10"/>
        <v>465</v>
      </c>
      <c r="V24" s="22">
        <f t="shared" ca="1" si="10"/>
        <v>0</v>
      </c>
      <c r="W24" s="7">
        <f t="shared" ca="1" si="11"/>
        <v>4</v>
      </c>
      <c r="X24" s="19">
        <f t="shared" ca="1" si="3"/>
        <v>0.33333333333333331</v>
      </c>
      <c r="Y24" s="7">
        <f t="shared" ca="1" si="4"/>
        <v>0</v>
      </c>
      <c r="Z24" s="7">
        <f t="shared" ca="1" si="5"/>
        <v>0</v>
      </c>
      <c r="AA24" s="7">
        <f t="shared" ca="1" si="6"/>
        <v>4</v>
      </c>
    </row>
    <row r="25" spans="1:27" ht="15" thickBot="1" x14ac:dyDescent="0.4">
      <c r="A25" s="7">
        <v>23</v>
      </c>
      <c r="B25" s="11">
        <f t="shared" ca="1" si="7"/>
        <v>43944</v>
      </c>
      <c r="C25" s="12">
        <f t="shared" ca="1" si="0"/>
        <v>43944</v>
      </c>
      <c r="D25" s="12"/>
      <c r="E25" s="29">
        <v>0.39583333333333331</v>
      </c>
      <c r="F25" s="23"/>
      <c r="G25" s="29">
        <v>0.58333333333333337</v>
      </c>
      <c r="H25" s="23"/>
      <c r="I25" s="29">
        <v>0.63541666666666663</v>
      </c>
      <c r="J25" s="24"/>
      <c r="K25" s="29">
        <v>0.77083333333333337</v>
      </c>
      <c r="L25" s="9"/>
      <c r="M25" s="18">
        <f t="shared" ca="1" si="8"/>
        <v>0.3229166666666668</v>
      </c>
      <c r="N25" s="18">
        <f t="shared" ca="1" si="9"/>
        <v>0.3229166666666668</v>
      </c>
      <c r="O25" s="19">
        <f t="shared" ca="1" si="1"/>
        <v>0</v>
      </c>
      <c r="P25" s="9"/>
      <c r="Q25" s="30"/>
      <c r="R25" s="21" t="s">
        <v>15</v>
      </c>
      <c r="T25" s="22">
        <f t="shared" ca="1" si="10"/>
        <v>465</v>
      </c>
      <c r="U25" s="22">
        <f t="shared" ca="1" si="10"/>
        <v>465</v>
      </c>
      <c r="V25" s="22">
        <f t="shared" ca="1" si="10"/>
        <v>0</v>
      </c>
      <c r="W25" s="7">
        <f t="shared" ca="1" si="11"/>
        <v>5</v>
      </c>
      <c r="X25" s="19">
        <f t="shared" ca="1" si="3"/>
        <v>0.33333333333333331</v>
      </c>
      <c r="Y25" s="7">
        <f t="shared" ca="1" si="4"/>
        <v>0</v>
      </c>
      <c r="Z25" s="7">
        <f t="shared" ca="1" si="5"/>
        <v>0</v>
      </c>
      <c r="AA25" s="7">
        <f t="shared" ca="1" si="6"/>
        <v>4</v>
      </c>
    </row>
    <row r="26" spans="1:27" ht="15" thickBot="1" x14ac:dyDescent="0.4">
      <c r="A26" s="7">
        <v>24</v>
      </c>
      <c r="B26" s="11">
        <f t="shared" ca="1" si="7"/>
        <v>43945</v>
      </c>
      <c r="C26" s="12">
        <f t="shared" ca="1" si="0"/>
        <v>43945</v>
      </c>
      <c r="E26" s="29">
        <v>0.39583333333333331</v>
      </c>
      <c r="F26" s="23"/>
      <c r="G26" s="29">
        <v>0.5</v>
      </c>
      <c r="H26" s="23"/>
      <c r="I26" s="29">
        <v>0</v>
      </c>
      <c r="J26" s="24"/>
      <c r="K26" s="29">
        <v>0</v>
      </c>
      <c r="L26" s="9"/>
      <c r="M26" s="18">
        <f t="shared" ca="1" si="8"/>
        <v>0.10416666666666669</v>
      </c>
      <c r="N26" s="18">
        <f t="shared" ca="1" si="9"/>
        <v>0.10416666666666669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150</v>
      </c>
      <c r="U26" s="22">
        <f t="shared" ca="1" si="10"/>
        <v>150</v>
      </c>
      <c r="V26" s="22">
        <f t="shared" ca="1" si="10"/>
        <v>0</v>
      </c>
      <c r="W26" s="7">
        <f t="shared" ca="1" si="11"/>
        <v>6</v>
      </c>
      <c r="X26" s="19">
        <f t="shared" ca="1" si="3"/>
        <v>0.25</v>
      </c>
      <c r="Y26" s="7">
        <f t="shared" ca="1" si="4"/>
        <v>0</v>
      </c>
      <c r="Z26" s="7">
        <f t="shared" ca="1" si="5"/>
        <v>0</v>
      </c>
      <c r="AA26" s="7">
        <f t="shared" ca="1" si="6"/>
        <v>4</v>
      </c>
    </row>
    <row r="27" spans="1:27" ht="15" thickBot="1" x14ac:dyDescent="0.4">
      <c r="A27" s="7">
        <v>25</v>
      </c>
      <c r="B27" s="11">
        <f t="shared" ca="1" si="7"/>
        <v>43946</v>
      </c>
      <c r="C27" s="12">
        <f t="shared" ca="1" si="0"/>
        <v>43946</v>
      </c>
      <c r="D27" s="12"/>
      <c r="E27" s="16" t="s">
        <v>3</v>
      </c>
      <c r="F27" s="23"/>
      <c r="G27" s="16" t="s">
        <v>4</v>
      </c>
      <c r="H27" s="15"/>
      <c r="I27" s="16" t="s">
        <v>32</v>
      </c>
      <c r="J27" s="24"/>
      <c r="K27" s="29" t="s">
        <v>36</v>
      </c>
      <c r="L27" s="9"/>
      <c r="M27" s="18">
        <f t="shared" ca="1" si="8"/>
        <v>0</v>
      </c>
      <c r="N27" s="18">
        <f t="shared" ca="1" si="9"/>
        <v>0</v>
      </c>
      <c r="O27" s="19">
        <f t="shared" ca="1" si="1"/>
        <v>0</v>
      </c>
      <c r="P27" s="9"/>
      <c r="Q27" s="20"/>
      <c r="R27" s="21" t="s">
        <v>8</v>
      </c>
      <c r="T27" s="22">
        <f t="shared" ca="1" si="10"/>
        <v>0</v>
      </c>
      <c r="U27" s="22">
        <f t="shared" ca="1" si="10"/>
        <v>0</v>
      </c>
      <c r="V27" s="22">
        <f t="shared" ca="1" si="10"/>
        <v>0</v>
      </c>
      <c r="W27" s="7">
        <f t="shared" ca="1" si="11"/>
        <v>7</v>
      </c>
      <c r="X27" s="19">
        <f t="shared" ca="1" si="3"/>
        <v>0</v>
      </c>
      <c r="Y27" s="7">
        <f t="shared" ca="1" si="4"/>
        <v>0</v>
      </c>
      <c r="Z27" s="7">
        <f t="shared" ca="1" si="5"/>
        <v>1</v>
      </c>
      <c r="AA27" s="7">
        <f t="shared" ca="1" si="6"/>
        <v>4</v>
      </c>
    </row>
    <row r="28" spans="1:27" ht="15" thickBot="1" x14ac:dyDescent="0.4">
      <c r="A28" s="7">
        <v>26</v>
      </c>
      <c r="B28" s="11">
        <f t="shared" ca="1" si="7"/>
        <v>43947</v>
      </c>
      <c r="C28" s="12">
        <f t="shared" ca="1" si="0"/>
        <v>43947</v>
      </c>
      <c r="E28" s="16" t="s">
        <v>3</v>
      </c>
      <c r="F28" s="23"/>
      <c r="G28" s="16" t="s">
        <v>4</v>
      </c>
      <c r="H28" s="15"/>
      <c r="I28" s="16" t="s">
        <v>33</v>
      </c>
      <c r="J28" s="24"/>
      <c r="K28" s="29" t="s">
        <v>37</v>
      </c>
      <c r="L28" s="9"/>
      <c r="M28" s="18">
        <f t="shared" ca="1" si="8"/>
        <v>0</v>
      </c>
      <c r="N28" s="18">
        <f t="shared" ca="1" si="9"/>
        <v>0</v>
      </c>
      <c r="O28" s="19">
        <f t="shared" ca="1" si="1"/>
        <v>0</v>
      </c>
      <c r="P28" s="9"/>
      <c r="Q28" s="20"/>
      <c r="R28" s="21" t="s">
        <v>8</v>
      </c>
      <c r="T28" s="22">
        <f t="shared" ca="1" si="10"/>
        <v>0</v>
      </c>
      <c r="U28" s="22">
        <f t="shared" ca="1" si="10"/>
        <v>0</v>
      </c>
      <c r="V28" s="22">
        <f t="shared" ca="1" si="10"/>
        <v>0</v>
      </c>
      <c r="W28" s="7">
        <f t="shared" ca="1" si="11"/>
        <v>1</v>
      </c>
      <c r="X28" s="19">
        <f t="shared" ca="1" si="3"/>
        <v>0</v>
      </c>
      <c r="Y28" s="7">
        <f t="shared" ca="1" si="4"/>
        <v>0</v>
      </c>
      <c r="Z28" s="7">
        <f t="shared" ca="1" si="5"/>
        <v>1</v>
      </c>
      <c r="AA28" s="7">
        <f t="shared" ca="1" si="6"/>
        <v>4</v>
      </c>
    </row>
    <row r="29" spans="1:27" ht="15" thickBot="1" x14ac:dyDescent="0.4">
      <c r="A29" s="7">
        <v>27</v>
      </c>
      <c r="B29" s="11">
        <f t="shared" ca="1" si="7"/>
        <v>43948</v>
      </c>
      <c r="C29" s="12">
        <f t="shared" ca="1" si="0"/>
        <v>43948</v>
      </c>
      <c r="D29" s="12"/>
      <c r="E29" s="29">
        <v>0.39583333333333331</v>
      </c>
      <c r="F29" s="23"/>
      <c r="G29" s="29">
        <v>0.58333333333333337</v>
      </c>
      <c r="H29" s="15"/>
      <c r="I29" s="29">
        <v>0.63541666666666663</v>
      </c>
      <c r="J29" s="24"/>
      <c r="K29" s="29">
        <v>0.77083333333333337</v>
      </c>
      <c r="L29" s="9"/>
      <c r="M29" s="18">
        <f t="shared" ca="1" si="8"/>
        <v>0.3229166666666668</v>
      </c>
      <c r="N29" s="18">
        <f t="shared" ca="1" si="9"/>
        <v>0.3229166666666668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465</v>
      </c>
      <c r="U29" s="22">
        <f t="shared" ca="1" si="10"/>
        <v>465</v>
      </c>
      <c r="V29" s="22">
        <f t="shared" ca="1" si="10"/>
        <v>0</v>
      </c>
      <c r="W29" s="7">
        <f t="shared" ca="1" si="11"/>
        <v>2</v>
      </c>
      <c r="X29" s="19">
        <f t="shared" ca="1" si="3"/>
        <v>0.33333333333333331</v>
      </c>
      <c r="Y29" s="7">
        <f t="shared" ca="1" si="4"/>
        <v>0</v>
      </c>
      <c r="Z29" s="7">
        <f t="shared" ca="1" si="5"/>
        <v>0</v>
      </c>
      <c r="AA29" s="7">
        <f t="shared" ca="1" si="6"/>
        <v>4</v>
      </c>
    </row>
    <row r="30" spans="1:27" ht="15" thickBot="1" x14ac:dyDescent="0.4">
      <c r="A30" s="7">
        <v>28</v>
      </c>
      <c r="B30" s="11">
        <f t="shared" ca="1" si="7"/>
        <v>43949</v>
      </c>
      <c r="C30" s="12">
        <f t="shared" ca="1" si="0"/>
        <v>43949</v>
      </c>
      <c r="E30" s="29">
        <v>0.39583333333333331</v>
      </c>
      <c r="F30" s="23"/>
      <c r="G30" s="29">
        <v>0.58333333333333337</v>
      </c>
      <c r="H30" s="15"/>
      <c r="I30" s="29">
        <v>0.63541666666666663</v>
      </c>
      <c r="J30" s="24"/>
      <c r="K30" s="29">
        <v>0.77083333333333337</v>
      </c>
      <c r="L30" s="9"/>
      <c r="M30" s="18">
        <f t="shared" ca="1" si="8"/>
        <v>0.3229166666666668</v>
      </c>
      <c r="N30" s="18">
        <f t="shared" ca="1" si="9"/>
        <v>0.3229166666666668</v>
      </c>
      <c r="O30" s="19">
        <f t="shared" ca="1" si="1"/>
        <v>0</v>
      </c>
      <c r="P30" s="9"/>
      <c r="Q30" s="30"/>
      <c r="R30" s="21" t="s">
        <v>15</v>
      </c>
      <c r="T30" s="22">
        <f t="shared" ca="1" si="10"/>
        <v>465</v>
      </c>
      <c r="U30" s="22">
        <f t="shared" ca="1" si="10"/>
        <v>465</v>
      </c>
      <c r="V30" s="22">
        <f t="shared" ca="1" si="10"/>
        <v>0</v>
      </c>
      <c r="W30" s="7">
        <f t="shared" ca="1" si="11"/>
        <v>3</v>
      </c>
      <c r="X30" s="19">
        <f t="shared" ca="1" si="3"/>
        <v>0.33333333333333331</v>
      </c>
      <c r="Y30" s="7">
        <f t="shared" ca="1" si="4"/>
        <v>0</v>
      </c>
      <c r="Z30" s="7">
        <f t="shared" ca="1" si="5"/>
        <v>0</v>
      </c>
      <c r="AA30" s="7">
        <f t="shared" ca="1" si="6"/>
        <v>4</v>
      </c>
    </row>
    <row r="31" spans="1:27" ht="15" thickBot="1" x14ac:dyDescent="0.4">
      <c r="A31" s="7">
        <v>29</v>
      </c>
      <c r="B31" s="11">
        <f t="shared" ca="1" si="7"/>
        <v>43950</v>
      </c>
      <c r="C31" s="12">
        <f t="shared" ca="1" si="0"/>
        <v>43950</v>
      </c>
      <c r="D31" s="12"/>
      <c r="E31" s="29">
        <v>0.39583333333333331</v>
      </c>
      <c r="F31" s="23"/>
      <c r="G31" s="29">
        <v>0.58333333333333337</v>
      </c>
      <c r="H31" s="15"/>
      <c r="I31" s="29">
        <v>0.63541666666666663</v>
      </c>
      <c r="J31" s="24"/>
      <c r="K31" s="29">
        <v>0.77083333333333337</v>
      </c>
      <c r="L31" s="9"/>
      <c r="M31" s="18">
        <f t="shared" ca="1" si="8"/>
        <v>0.3229166666666668</v>
      </c>
      <c r="N31" s="18">
        <f t="shared" ca="1" si="9"/>
        <v>0.3229166666666668</v>
      </c>
      <c r="O31" s="19">
        <f t="shared" ca="1" si="1"/>
        <v>0</v>
      </c>
      <c r="P31" s="9"/>
      <c r="Q31" s="30"/>
      <c r="R31" s="21" t="s">
        <v>15</v>
      </c>
      <c r="T31" s="22">
        <f t="shared" ca="1" si="10"/>
        <v>465</v>
      </c>
      <c r="U31" s="22">
        <f t="shared" ca="1" si="10"/>
        <v>465</v>
      </c>
      <c r="V31" s="22">
        <f t="shared" ca="1" si="10"/>
        <v>0</v>
      </c>
      <c r="W31" s="7">
        <f t="shared" ca="1" si="11"/>
        <v>4</v>
      </c>
      <c r="X31" s="19">
        <f t="shared" ca="1" si="3"/>
        <v>0.33333333333333331</v>
      </c>
      <c r="Y31" s="7">
        <f t="shared" ca="1" si="4"/>
        <v>0</v>
      </c>
      <c r="Z31" s="7">
        <f t="shared" ca="1" si="5"/>
        <v>0</v>
      </c>
      <c r="AA31" s="7">
        <f t="shared" ca="1" si="6"/>
        <v>4</v>
      </c>
    </row>
    <row r="32" spans="1:27" ht="15" thickBot="1" x14ac:dyDescent="0.4">
      <c r="A32" s="7">
        <v>30</v>
      </c>
      <c r="B32" s="11">
        <f t="shared" ca="1" si="7"/>
        <v>43951</v>
      </c>
      <c r="C32" s="12">
        <f t="shared" ca="1" si="0"/>
        <v>43951</v>
      </c>
      <c r="E32" s="29">
        <v>0.39583333333333331</v>
      </c>
      <c r="F32" s="23"/>
      <c r="G32" s="29">
        <v>0.58333333333333337</v>
      </c>
      <c r="H32" s="15"/>
      <c r="I32" s="29">
        <v>0.63541666666666663</v>
      </c>
      <c r="J32" s="24"/>
      <c r="K32" s="29">
        <v>0.77083333333333337</v>
      </c>
      <c r="L32" s="9"/>
      <c r="M32" s="18">
        <f t="shared" ca="1" si="8"/>
        <v>0.3229166666666668</v>
      </c>
      <c r="N32" s="18">
        <f t="shared" ca="1" si="9"/>
        <v>0.3229166666666668</v>
      </c>
      <c r="O32" s="19">
        <f t="shared" ca="1" si="1"/>
        <v>0</v>
      </c>
      <c r="P32" s="9"/>
      <c r="Q32" s="30"/>
      <c r="R32" s="21" t="s">
        <v>15</v>
      </c>
      <c r="T32" s="22">
        <f t="shared" ca="1" si="10"/>
        <v>465</v>
      </c>
      <c r="U32" s="22">
        <f t="shared" ca="1" si="10"/>
        <v>465</v>
      </c>
      <c r="V32" s="22">
        <f t="shared" ca="1" si="10"/>
        <v>0</v>
      </c>
      <c r="W32" s="7">
        <f t="shared" ca="1" si="11"/>
        <v>5</v>
      </c>
      <c r="X32" s="19">
        <f t="shared" ca="1" si="3"/>
        <v>0.33333333333333331</v>
      </c>
      <c r="Y32" s="7">
        <f t="shared" ca="1" si="4"/>
        <v>0</v>
      </c>
      <c r="Z32" s="7">
        <f t="shared" ca="1" si="5"/>
        <v>0</v>
      </c>
      <c r="AA32" s="7">
        <f t="shared" ca="1" si="6"/>
        <v>4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43952</v>
      </c>
      <c r="E33" s="29">
        <v>0.375</v>
      </c>
      <c r="F33" s="23"/>
      <c r="G33" s="29">
        <v>0.64583333333333337</v>
      </c>
      <c r="H33" s="15"/>
      <c r="I33" s="29">
        <v>0.625</v>
      </c>
      <c r="J33" s="24"/>
      <c r="K33" s="29">
        <v>0.77083333333333337</v>
      </c>
      <c r="L33" s="9"/>
      <c r="M33" s="18">
        <f t="shared" ca="1" si="8"/>
        <v>0</v>
      </c>
      <c r="N33" s="18">
        <f t="shared" ca="1" si="9"/>
        <v>0</v>
      </c>
      <c r="O33" s="19">
        <f t="shared" ca="1" si="1"/>
        <v>0</v>
      </c>
      <c r="P33" s="9"/>
      <c r="Q33" s="20"/>
      <c r="R33" s="21" t="s">
        <v>15</v>
      </c>
      <c r="T33" s="22">
        <f t="shared" ca="1" si="10"/>
        <v>0</v>
      </c>
      <c r="U33" s="22">
        <f t="shared" ca="1" si="10"/>
        <v>0</v>
      </c>
      <c r="V33" s="22">
        <f t="shared" ca="1" si="10"/>
        <v>0</v>
      </c>
      <c r="W33" s="7">
        <f t="shared" ca="1" si="11"/>
        <v>6</v>
      </c>
      <c r="X33" s="19">
        <f t="shared" ca="1" si="3"/>
        <v>0.25</v>
      </c>
      <c r="Y33" s="7">
        <f t="shared" ca="1" si="4"/>
        <v>0</v>
      </c>
      <c r="Z33" s="7">
        <f t="shared" ca="1" si="5"/>
        <v>0</v>
      </c>
      <c r="AA33" s="7">
        <f t="shared" ca="1" si="6"/>
        <v>5</v>
      </c>
    </row>
    <row r="34" spans="1:27" ht="15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142.5</v>
      </c>
      <c r="N35" s="27">
        <f ca="1">SUM(U3:U33)/60</f>
        <v>140.5</v>
      </c>
      <c r="O35" s="27">
        <f ca="1">SUM(V3:V33)/60</f>
        <v>2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aHQDdQYNL2ap+1o+r8xj4Lo3R4IYN5qRcnyGj9gAU1s/AJ6MLu5ysAwirAihefiDgVAS+hLZUjFfkXq3Npa/1w==" saltValue="bSqdOwJMhEYwz/vs8vep3Q==" spinCount="100000" sheet="1" objects="1" scenarios="1"/>
  <mergeCells count="1">
    <mergeCell ref="B1:C1"/>
  </mergeCells>
  <conditionalFormatting sqref="G3:G33 E3:E33">
    <cfRule type="expression" dxfId="158" priority="5">
      <formula>VALUE(SUBSTITUTE($G3,":",""))&lt;VALUE(SUBSTITUTE($E3,":",""))</formula>
    </cfRule>
  </conditionalFormatting>
  <conditionalFormatting sqref="I3:I33 K3:K33">
    <cfRule type="expression" dxfId="157" priority="9">
      <formula>($K3-$I3)&lt;0</formula>
    </cfRule>
  </conditionalFormatting>
  <conditionalFormatting sqref="O3:O33">
    <cfRule type="cellIs" dxfId="156" priority="8" operator="greaterThan">
      <formula>0.1</formula>
    </cfRule>
    <cfRule type="expression" dxfId="155" priority="15">
      <formula>$R3="Fecha cerrada"</formula>
    </cfRule>
  </conditionalFormatting>
  <conditionalFormatting sqref="N3:N33">
    <cfRule type="expression" dxfId="154" priority="14">
      <formula>VALUE(SUBSTITUTE($G3,":",""))&lt;VALUE(SUBSTITUTE($E3,":",""))</formula>
    </cfRule>
  </conditionalFormatting>
  <conditionalFormatting sqref="N3:N33">
    <cfRule type="expression" dxfId="153" priority="13">
      <formula>$R3="Fecha cerrada"</formula>
    </cfRule>
  </conditionalFormatting>
  <conditionalFormatting sqref="X3:X33">
    <cfRule type="expression" dxfId="152" priority="12">
      <formula>VALUE(SUBSTITUTE($G3,":",""))&lt;VALUE(SUBSTITUTE($E3,":",""))</formula>
    </cfRule>
  </conditionalFormatting>
  <conditionalFormatting sqref="X3:X33">
    <cfRule type="expression" dxfId="151" priority="11">
      <formula>$R3="Fecha cerrada"</formula>
    </cfRule>
  </conditionalFormatting>
  <conditionalFormatting sqref="Q3:R33 N3:O33 E3:K33">
    <cfRule type="expression" dxfId="150" priority="1">
      <formula>OR($W3=1,$W3=7,$AA3&lt;&gt;_xlfn.SHEET($A$1),,IFERROR(VLOOKUP($C3,DiasVacaciones,1,FALSE+$O$14:$Q$14),0)&lt;&gt;0)</formula>
    </cfRule>
  </conditionalFormatting>
  <conditionalFormatting sqref="R3:R33">
    <cfRule type="cellIs" dxfId="149" priority="6" operator="equal">
      <formula>"Confirmar Fecha"</formula>
    </cfRule>
    <cfRule type="cellIs" dxfId="148" priority="7" operator="equal">
      <formula>"Confirmada"</formula>
    </cfRule>
  </conditionalFormatting>
  <conditionalFormatting sqref="M3:M33">
    <cfRule type="expression" dxfId="147" priority="4">
      <formula>VALUE(SUBSTITUTE($G3,":",""))&lt;VALUE(SUBSTITUTE($E3,":",""))</formula>
    </cfRule>
  </conditionalFormatting>
  <conditionalFormatting sqref="M3:M33">
    <cfRule type="expression" dxfId="146" priority="3">
      <formula>$R3="Fecha cerrada"</formula>
    </cfRule>
  </conditionalFormatting>
  <conditionalFormatting sqref="M3:M33">
    <cfRule type="expression" dxfId="145" priority="2">
      <formula>OR($W3=1,$W3=7,$Z3=1,$AA3&lt;&gt;_xlfn.SHEET($A$1))</formula>
    </cfRule>
  </conditionalFormatting>
  <conditionalFormatting sqref="E3:E33 G3:G33 I3:I33 K3:K33">
    <cfRule type="expression" dxfId="144" priority="10">
      <formula>$R3="Confirmada"</formula>
    </cfRule>
    <cfRule type="expression" dxfId="143" priority="16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G3:G33 K3:K33 I3:I33 E3:E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A39"/>
  <sheetViews>
    <sheetView showGridLines="0" workbookViewId="0">
      <selection activeCell="K33" sqref="K3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customWidth="1"/>
    <col min="20" max="20" width="6.26953125" style="7" hidden="1" customWidth="1"/>
    <col min="21" max="21" width="7.90625" style="7" hidden="1" customWidth="1"/>
    <col min="22" max="22" width="7.36328125" style="7" hidden="1" customWidth="1"/>
    <col min="23" max="24" width="10.90625" style="7" hidden="1" customWidth="1"/>
    <col min="25" max="25" width="11.1796875" style="7" hidden="1" customWidth="1"/>
    <col min="26" max="27" width="0" style="7" hidden="1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43952</v>
      </c>
      <c r="C3" s="12">
        <f t="shared" ref="C3:C33" ca="1" si="0">DATE(Anualidad,_xlfn.SHEET(B1),A3)</f>
        <v>43952</v>
      </c>
      <c r="D3" s="12"/>
      <c r="E3" s="13">
        <v>0.82291666666666663</v>
      </c>
      <c r="F3" s="14"/>
      <c r="G3" s="13" t="s">
        <v>39</v>
      </c>
      <c r="H3" s="15"/>
      <c r="I3" s="29" t="s">
        <v>38</v>
      </c>
      <c r="J3" s="17"/>
      <c r="K3" s="16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0.17708333333333348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0.17708333333333348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8</v>
      </c>
      <c r="T3" s="22">
        <f ca="1">MINUTE(M3)+(HOUR(M3)*60)</f>
        <v>255</v>
      </c>
      <c r="U3" s="22">
        <f t="shared" ref="U3:V18" ca="1" si="2">MINUTE(N3)+(HOUR(N3)*60)</f>
        <v>255</v>
      </c>
      <c r="V3" s="22">
        <f t="shared" ca="1" si="2"/>
        <v>0</v>
      </c>
      <c r="W3" s="7">
        <f ca="1">WEEKDAY(C3)</f>
        <v>6</v>
      </c>
      <c r="X3" s="19">
        <f t="shared" ref="X3:X33" ca="1" si="3">IF(AND(W3&lt;&gt;7,W3&lt;&gt;1),IF(W3=DiaSemanaIntensiva,HorasIntensiva,HorasOrdinarias),0)</f>
        <v>0.25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0</v>
      </c>
      <c r="AA3" s="7">
        <f t="shared" ref="AA3:AA33" ca="1" si="6">MONTH(C3)</f>
        <v>5</v>
      </c>
    </row>
    <row r="4" spans="1:27" ht="15" thickBot="1" x14ac:dyDescent="0.4">
      <c r="A4" s="7">
        <v>2</v>
      </c>
      <c r="B4" s="11">
        <f t="shared" ref="B4:B32" ca="1" si="7">C4</f>
        <v>43953</v>
      </c>
      <c r="C4" s="12">
        <f t="shared" ca="1" si="0"/>
        <v>43953</v>
      </c>
      <c r="E4" s="29">
        <v>0.41666666666666669</v>
      </c>
      <c r="F4" s="23"/>
      <c r="G4" s="29">
        <v>0.71875</v>
      </c>
      <c r="H4" s="15"/>
      <c r="I4" s="29">
        <v>0.67708333333333337</v>
      </c>
      <c r="J4" s="24"/>
      <c r="K4" s="29">
        <v>0.79166666666666663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</v>
      </c>
      <c r="O4" s="19">
        <f t="shared" ca="1" si="1"/>
        <v>0</v>
      </c>
      <c r="P4" s="9"/>
      <c r="Q4" s="30"/>
      <c r="R4" s="21" t="s">
        <v>8</v>
      </c>
      <c r="T4" s="22">
        <f t="shared" ref="T4:V33" ca="1" si="10">MINUTE(M4)+(HOUR(M4)*60)</f>
        <v>0</v>
      </c>
      <c r="U4" s="22">
        <f t="shared" ca="1" si="2"/>
        <v>0</v>
      </c>
      <c r="V4" s="22">
        <f t="shared" ca="1" si="2"/>
        <v>0</v>
      </c>
      <c r="W4" s="7">
        <f t="shared" ref="W4:W33" ca="1" si="11">WEEKDAY(C4)</f>
        <v>7</v>
      </c>
      <c r="X4" s="19">
        <f t="shared" ca="1" si="3"/>
        <v>0</v>
      </c>
      <c r="Y4" s="7">
        <f t="shared" ca="1" si="4"/>
        <v>0</v>
      </c>
      <c r="Z4" s="7">
        <f t="shared" ca="1" si="5"/>
        <v>1</v>
      </c>
      <c r="AA4" s="7">
        <f t="shared" ca="1" si="6"/>
        <v>5</v>
      </c>
    </row>
    <row r="5" spans="1:27" ht="15" thickBot="1" x14ac:dyDescent="0.4">
      <c r="A5" s="7">
        <v>3</v>
      </c>
      <c r="B5" s="11">
        <f t="shared" ca="1" si="7"/>
        <v>43954</v>
      </c>
      <c r="C5" s="12">
        <f t="shared" ca="1" si="0"/>
        <v>43954</v>
      </c>
      <c r="D5" s="12"/>
      <c r="E5" s="29">
        <v>0.79166666666666663</v>
      </c>
      <c r="F5" s="23"/>
      <c r="G5" s="29">
        <v>0.5</v>
      </c>
      <c r="H5" s="15"/>
      <c r="I5" s="29">
        <v>0</v>
      </c>
      <c r="J5" s="24"/>
      <c r="K5" s="29">
        <v>0</v>
      </c>
      <c r="L5" s="9"/>
      <c r="M5" s="18">
        <f t="shared" ca="1" si="8"/>
        <v>0</v>
      </c>
      <c r="N5" s="18">
        <f t="shared" ca="1" si="9"/>
        <v>0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0</v>
      </c>
      <c r="U5" s="22">
        <f t="shared" ca="1" si="2"/>
        <v>0</v>
      </c>
      <c r="V5" s="22">
        <f t="shared" ca="1" si="2"/>
        <v>0</v>
      </c>
      <c r="W5" s="7">
        <f t="shared" ca="1" si="11"/>
        <v>1</v>
      </c>
      <c r="X5" s="19">
        <f t="shared" ca="1" si="3"/>
        <v>0</v>
      </c>
      <c r="Y5" s="7">
        <f t="shared" ca="1" si="4"/>
        <v>0</v>
      </c>
      <c r="Z5" s="7">
        <f t="shared" ca="1" si="5"/>
        <v>1</v>
      </c>
      <c r="AA5" s="7">
        <f t="shared" ca="1" si="6"/>
        <v>5</v>
      </c>
    </row>
    <row r="6" spans="1:27" ht="15" thickBot="1" x14ac:dyDescent="0.4">
      <c r="A6" s="7">
        <v>4</v>
      </c>
      <c r="B6" s="11">
        <f t="shared" ca="1" si="7"/>
        <v>43955</v>
      </c>
      <c r="C6" s="12">
        <f t="shared" ca="1" si="0"/>
        <v>43955</v>
      </c>
      <c r="E6" s="29">
        <v>0.39583333333333331</v>
      </c>
      <c r="F6" s="23"/>
      <c r="G6" s="29">
        <v>0.58333333333333337</v>
      </c>
      <c r="H6" s="15"/>
      <c r="I6" s="29">
        <v>0.63541666666666663</v>
      </c>
      <c r="J6" s="24"/>
      <c r="K6" s="29">
        <v>0.77083333333333337</v>
      </c>
      <c r="L6" s="9"/>
      <c r="M6" s="18">
        <f t="shared" ca="1" si="8"/>
        <v>0.3229166666666668</v>
      </c>
      <c r="N6" s="18">
        <f t="shared" ca="1" si="9"/>
        <v>0.3229166666666668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465</v>
      </c>
      <c r="U6" s="22">
        <f t="shared" ca="1" si="2"/>
        <v>465</v>
      </c>
      <c r="V6" s="22">
        <f t="shared" ca="1" si="2"/>
        <v>0</v>
      </c>
      <c r="W6" s="7">
        <f t="shared" ca="1" si="11"/>
        <v>2</v>
      </c>
      <c r="X6" s="19">
        <f t="shared" ca="1" si="3"/>
        <v>0.33333333333333331</v>
      </c>
      <c r="Y6" s="7">
        <f t="shared" ca="1" si="4"/>
        <v>0</v>
      </c>
      <c r="Z6" s="7">
        <f t="shared" ca="1" si="5"/>
        <v>0</v>
      </c>
      <c r="AA6" s="7">
        <f t="shared" ca="1" si="6"/>
        <v>5</v>
      </c>
    </row>
    <row r="7" spans="1:27" ht="15" thickBot="1" x14ac:dyDescent="0.4">
      <c r="A7" s="7">
        <v>5</v>
      </c>
      <c r="B7" s="11">
        <f t="shared" ca="1" si="7"/>
        <v>43956</v>
      </c>
      <c r="C7" s="12">
        <f t="shared" ca="1" si="0"/>
        <v>43956</v>
      </c>
      <c r="D7" s="12"/>
      <c r="E7" s="16" t="s">
        <v>3</v>
      </c>
      <c r="F7" s="23"/>
      <c r="G7" s="16" t="s">
        <v>4</v>
      </c>
      <c r="H7" s="15"/>
      <c r="I7" s="16" t="s">
        <v>5</v>
      </c>
      <c r="J7" s="24"/>
      <c r="K7" s="16" t="s">
        <v>6</v>
      </c>
      <c r="L7" s="9"/>
      <c r="M7" s="18">
        <f t="shared" ca="1" si="8"/>
        <v>0.35416666666666674</v>
      </c>
      <c r="N7" s="18">
        <f t="shared" ca="1" si="9"/>
        <v>0.33333333333333331</v>
      </c>
      <c r="O7" s="19">
        <f t="shared" ca="1" si="1"/>
        <v>2.0833333333333426E-2</v>
      </c>
      <c r="P7" s="9"/>
      <c r="Q7" s="20"/>
      <c r="R7" s="21" t="s">
        <v>8</v>
      </c>
      <c r="T7" s="22">
        <f t="shared" ca="1" si="10"/>
        <v>510</v>
      </c>
      <c r="U7" s="22">
        <f t="shared" ca="1" si="2"/>
        <v>480</v>
      </c>
      <c r="V7" s="22">
        <f t="shared" ca="1" si="2"/>
        <v>30</v>
      </c>
      <c r="W7" s="7">
        <f t="shared" ca="1" si="11"/>
        <v>3</v>
      </c>
      <c r="X7" s="19">
        <f t="shared" ca="1" si="3"/>
        <v>0.33333333333333331</v>
      </c>
      <c r="Y7" s="7">
        <f t="shared" ca="1" si="4"/>
        <v>0</v>
      </c>
      <c r="Z7" s="7">
        <f t="shared" ca="1" si="5"/>
        <v>0</v>
      </c>
      <c r="AA7" s="7">
        <f t="shared" ca="1" si="6"/>
        <v>5</v>
      </c>
    </row>
    <row r="8" spans="1:27" ht="15" thickBot="1" x14ac:dyDescent="0.4">
      <c r="A8" s="7">
        <v>6</v>
      </c>
      <c r="B8" s="11">
        <f t="shared" ca="1" si="7"/>
        <v>43957</v>
      </c>
      <c r="C8" s="12">
        <f t="shared" ca="1" si="0"/>
        <v>43957</v>
      </c>
      <c r="E8" s="29">
        <v>0.39583333333333331</v>
      </c>
      <c r="F8" s="23"/>
      <c r="G8" s="29">
        <v>0.58333333333333337</v>
      </c>
      <c r="H8" s="15"/>
      <c r="I8" s="29">
        <v>0.63541666666666663</v>
      </c>
      <c r="J8" s="24"/>
      <c r="K8" s="29">
        <v>0.77083333333333337</v>
      </c>
      <c r="L8" s="9"/>
      <c r="M8" s="18">
        <f t="shared" ca="1" si="8"/>
        <v>0.3229166666666668</v>
      </c>
      <c r="N8" s="18">
        <f t="shared" ca="1" si="9"/>
        <v>0.3229166666666668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465</v>
      </c>
      <c r="U8" s="22">
        <f t="shared" ca="1" si="2"/>
        <v>465</v>
      </c>
      <c r="V8" s="22">
        <f t="shared" ca="1" si="2"/>
        <v>0</v>
      </c>
      <c r="W8" s="7">
        <f t="shared" ca="1" si="11"/>
        <v>4</v>
      </c>
      <c r="X8" s="19">
        <f t="shared" ca="1" si="3"/>
        <v>0.33333333333333331</v>
      </c>
      <c r="Y8" s="7">
        <f t="shared" ca="1" si="4"/>
        <v>0</v>
      </c>
      <c r="Z8" s="7">
        <f t="shared" ca="1" si="5"/>
        <v>0</v>
      </c>
      <c r="AA8" s="7">
        <f t="shared" ca="1" si="6"/>
        <v>5</v>
      </c>
    </row>
    <row r="9" spans="1:27" ht="15" thickBot="1" x14ac:dyDescent="0.4">
      <c r="A9" s="7">
        <v>7</v>
      </c>
      <c r="B9" s="11">
        <f t="shared" ca="1" si="7"/>
        <v>43958</v>
      </c>
      <c r="C9" s="12">
        <f t="shared" ca="1" si="0"/>
        <v>43958</v>
      </c>
      <c r="D9" s="12"/>
      <c r="E9" s="29">
        <v>0.39583333333333331</v>
      </c>
      <c r="F9" s="23"/>
      <c r="G9" s="29">
        <v>0.58333333333333337</v>
      </c>
      <c r="H9" s="23"/>
      <c r="I9" s="29">
        <v>0.63541666666666663</v>
      </c>
      <c r="J9" s="24"/>
      <c r="K9" s="29">
        <v>0.77083333333333337</v>
      </c>
      <c r="L9" s="9"/>
      <c r="M9" s="18">
        <f t="shared" ca="1" si="8"/>
        <v>0.3229166666666668</v>
      </c>
      <c r="N9" s="18">
        <f t="shared" ca="1" si="9"/>
        <v>0.3229166666666668</v>
      </c>
      <c r="O9" s="19">
        <f t="shared" ca="1" si="1"/>
        <v>0</v>
      </c>
      <c r="P9" s="9"/>
      <c r="Q9" s="30"/>
      <c r="R9" s="21" t="s">
        <v>15</v>
      </c>
      <c r="T9" s="22">
        <f t="shared" ca="1" si="10"/>
        <v>465</v>
      </c>
      <c r="U9" s="22">
        <f t="shared" ca="1" si="2"/>
        <v>465</v>
      </c>
      <c r="V9" s="22">
        <f t="shared" ca="1" si="2"/>
        <v>0</v>
      </c>
      <c r="W9" s="7">
        <f t="shared" ca="1" si="11"/>
        <v>5</v>
      </c>
      <c r="X9" s="19">
        <f t="shared" ca="1" si="3"/>
        <v>0.33333333333333331</v>
      </c>
      <c r="Y9" s="7">
        <f t="shared" ca="1" si="4"/>
        <v>0</v>
      </c>
      <c r="Z9" s="7">
        <f t="shared" ca="1" si="5"/>
        <v>0</v>
      </c>
      <c r="AA9" s="7">
        <f t="shared" ca="1" si="6"/>
        <v>5</v>
      </c>
    </row>
    <row r="10" spans="1:27" ht="15" thickBot="1" x14ac:dyDescent="0.4">
      <c r="A10" s="7">
        <v>8</v>
      </c>
      <c r="B10" s="11">
        <f t="shared" ca="1" si="7"/>
        <v>43959</v>
      </c>
      <c r="C10" s="12">
        <f t="shared" ca="1" si="0"/>
        <v>43959</v>
      </c>
      <c r="E10" s="29">
        <v>0.39583333333333331</v>
      </c>
      <c r="F10" s="23"/>
      <c r="G10" s="29">
        <v>0.73958333333333337</v>
      </c>
      <c r="H10" s="23"/>
      <c r="I10" s="29">
        <v>0</v>
      </c>
      <c r="J10" s="24"/>
      <c r="K10" s="29">
        <v>0</v>
      </c>
      <c r="L10" s="9"/>
      <c r="M10" s="18">
        <f t="shared" ca="1" si="8"/>
        <v>0.34375000000000006</v>
      </c>
      <c r="N10" s="18">
        <f t="shared" ca="1" si="9"/>
        <v>0.25</v>
      </c>
      <c r="O10" s="19">
        <f t="shared" ca="1" si="1"/>
        <v>9.3750000000000056E-2</v>
      </c>
      <c r="P10" s="9"/>
      <c r="Q10" s="20"/>
      <c r="R10" s="21" t="s">
        <v>15</v>
      </c>
      <c r="T10" s="22">
        <f t="shared" ca="1" si="10"/>
        <v>495</v>
      </c>
      <c r="U10" s="22">
        <f t="shared" ca="1" si="2"/>
        <v>360</v>
      </c>
      <c r="V10" s="22">
        <f t="shared" ca="1" si="2"/>
        <v>135</v>
      </c>
      <c r="W10" s="7">
        <f t="shared" ca="1" si="11"/>
        <v>6</v>
      </c>
      <c r="X10" s="19">
        <f t="shared" ca="1" si="3"/>
        <v>0.25</v>
      </c>
      <c r="Y10" s="7">
        <f t="shared" ca="1" si="4"/>
        <v>0</v>
      </c>
      <c r="Z10" s="7">
        <f t="shared" ca="1" si="5"/>
        <v>0</v>
      </c>
      <c r="AA10" s="7">
        <f t="shared" ca="1" si="6"/>
        <v>5</v>
      </c>
    </row>
    <row r="11" spans="1:27" ht="15" thickBot="1" x14ac:dyDescent="0.4">
      <c r="A11" s="7">
        <v>9</v>
      </c>
      <c r="B11" s="11">
        <f t="shared" ca="1" si="7"/>
        <v>43960</v>
      </c>
      <c r="C11" s="12">
        <f t="shared" ca="1" si="0"/>
        <v>43960</v>
      </c>
      <c r="D11" s="12"/>
      <c r="E11" s="29">
        <v>0.34375</v>
      </c>
      <c r="F11" s="23"/>
      <c r="G11" s="29">
        <v>0.73958333333333337</v>
      </c>
      <c r="H11" s="15"/>
      <c r="I11" s="29">
        <v>0</v>
      </c>
      <c r="J11" s="24"/>
      <c r="K11" s="29">
        <v>0.52083333333333337</v>
      </c>
      <c r="L11" s="9"/>
      <c r="M11" s="18">
        <f t="shared" ca="1" si="8"/>
        <v>0</v>
      </c>
      <c r="N11" s="18">
        <f t="shared" ca="1" si="9"/>
        <v>0</v>
      </c>
      <c r="O11" s="19">
        <f t="shared" ca="1" si="1"/>
        <v>0</v>
      </c>
      <c r="P11" s="9"/>
      <c r="Q11" s="30"/>
      <c r="R11" s="21" t="s">
        <v>15</v>
      </c>
      <c r="T11" s="22">
        <f t="shared" ca="1" si="10"/>
        <v>0</v>
      </c>
      <c r="U11" s="22">
        <f t="shared" ca="1" si="2"/>
        <v>0</v>
      </c>
      <c r="V11" s="22">
        <f t="shared" ca="1" si="2"/>
        <v>0</v>
      </c>
      <c r="W11" s="7">
        <f t="shared" ca="1" si="11"/>
        <v>7</v>
      </c>
      <c r="X11" s="19">
        <f t="shared" ca="1" si="3"/>
        <v>0</v>
      </c>
      <c r="Y11" s="7">
        <f t="shared" ca="1" si="4"/>
        <v>0</v>
      </c>
      <c r="Z11" s="7">
        <f t="shared" ca="1" si="5"/>
        <v>1</v>
      </c>
      <c r="AA11" s="7">
        <f t="shared" ca="1" si="6"/>
        <v>5</v>
      </c>
    </row>
    <row r="12" spans="1:27" ht="15" thickBot="1" x14ac:dyDescent="0.4">
      <c r="A12" s="7">
        <v>10</v>
      </c>
      <c r="B12" s="11">
        <f t="shared" ca="1" si="7"/>
        <v>43961</v>
      </c>
      <c r="C12" s="12">
        <f t="shared" ca="1" si="0"/>
        <v>43961</v>
      </c>
      <c r="E12" s="29">
        <v>0.79166666666666663</v>
      </c>
      <c r="F12" s="23"/>
      <c r="G12" s="29">
        <v>0.5</v>
      </c>
      <c r="H12" s="15"/>
      <c r="I12" s="29">
        <v>0</v>
      </c>
      <c r="J12" s="24"/>
      <c r="K12" s="29">
        <v>0</v>
      </c>
      <c r="L12" s="9"/>
      <c r="M12" s="18">
        <f t="shared" ca="1" si="8"/>
        <v>0</v>
      </c>
      <c r="N12" s="18">
        <f t="shared" ca="1" si="9"/>
        <v>0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0</v>
      </c>
      <c r="U12" s="22">
        <f t="shared" ca="1" si="2"/>
        <v>0</v>
      </c>
      <c r="V12" s="22">
        <f t="shared" ca="1" si="2"/>
        <v>0</v>
      </c>
      <c r="W12" s="7">
        <f t="shared" ca="1" si="11"/>
        <v>1</v>
      </c>
      <c r="X12" s="19">
        <f t="shared" ca="1" si="3"/>
        <v>0</v>
      </c>
      <c r="Y12" s="7">
        <f t="shared" ca="1" si="4"/>
        <v>0</v>
      </c>
      <c r="Z12" s="7">
        <f t="shared" ca="1" si="5"/>
        <v>1</v>
      </c>
      <c r="AA12" s="7">
        <f t="shared" ca="1" si="6"/>
        <v>5</v>
      </c>
    </row>
    <row r="13" spans="1:27" ht="15" thickBot="1" x14ac:dyDescent="0.4">
      <c r="A13" s="7">
        <v>11</v>
      </c>
      <c r="B13" s="11">
        <f t="shared" ca="1" si="7"/>
        <v>43962</v>
      </c>
      <c r="C13" s="12">
        <f t="shared" ca="1" si="0"/>
        <v>43962</v>
      </c>
      <c r="D13" s="12"/>
      <c r="E13" s="16" t="s">
        <v>3</v>
      </c>
      <c r="F13" s="23"/>
      <c r="G13" s="16" t="s">
        <v>4</v>
      </c>
      <c r="H13" s="15"/>
      <c r="I13" s="16" t="s">
        <v>5</v>
      </c>
      <c r="J13" s="24"/>
      <c r="K13" s="16" t="s">
        <v>6</v>
      </c>
      <c r="L13" s="9"/>
      <c r="M13" s="18">
        <f t="shared" ca="1" si="8"/>
        <v>0.35416666666666674</v>
      </c>
      <c r="N13" s="18">
        <f t="shared" ca="1" si="9"/>
        <v>0.33333333333333331</v>
      </c>
      <c r="O13" s="19">
        <f t="shared" ca="1" si="1"/>
        <v>2.0833333333333426E-2</v>
      </c>
      <c r="P13" s="9"/>
      <c r="Q13" s="20"/>
      <c r="R13" s="21" t="s">
        <v>8</v>
      </c>
      <c r="T13" s="22">
        <f t="shared" ca="1" si="10"/>
        <v>510</v>
      </c>
      <c r="U13" s="22">
        <f t="shared" ca="1" si="2"/>
        <v>480</v>
      </c>
      <c r="V13" s="22">
        <f t="shared" ca="1" si="2"/>
        <v>30</v>
      </c>
      <c r="W13" s="7">
        <f t="shared" ca="1" si="11"/>
        <v>2</v>
      </c>
      <c r="X13" s="19">
        <f t="shared" ca="1" si="3"/>
        <v>0.33333333333333331</v>
      </c>
      <c r="Y13" s="7">
        <f t="shared" ca="1" si="4"/>
        <v>0</v>
      </c>
      <c r="Z13" s="7">
        <f t="shared" ca="1" si="5"/>
        <v>0</v>
      </c>
      <c r="AA13" s="7">
        <f t="shared" ca="1" si="6"/>
        <v>5</v>
      </c>
    </row>
    <row r="14" spans="1:27" ht="15" thickBot="1" x14ac:dyDescent="0.4">
      <c r="A14" s="7">
        <v>12</v>
      </c>
      <c r="B14" s="11">
        <f t="shared" ca="1" si="7"/>
        <v>43963</v>
      </c>
      <c r="C14" s="12">
        <f t="shared" ca="1" si="0"/>
        <v>43963</v>
      </c>
      <c r="E14" s="16" t="s">
        <v>3</v>
      </c>
      <c r="F14" s="23"/>
      <c r="G14" s="16" t="s">
        <v>4</v>
      </c>
      <c r="H14" s="15"/>
      <c r="I14" s="16" t="s">
        <v>5</v>
      </c>
      <c r="J14" s="24"/>
      <c r="K14" s="16" t="s">
        <v>6</v>
      </c>
      <c r="L14" s="9"/>
      <c r="M14" s="18">
        <f t="shared" ca="1" si="8"/>
        <v>0.35416666666666674</v>
      </c>
      <c r="N14" s="18">
        <f t="shared" ca="1" si="9"/>
        <v>0.33333333333333331</v>
      </c>
      <c r="O14" s="19">
        <f t="shared" ca="1" si="1"/>
        <v>2.0833333333333426E-2</v>
      </c>
      <c r="P14" s="9"/>
      <c r="Q14" s="20"/>
      <c r="R14" s="21" t="s">
        <v>8</v>
      </c>
      <c r="T14" s="22">
        <f t="shared" ca="1" si="10"/>
        <v>510</v>
      </c>
      <c r="U14" s="22">
        <f t="shared" ca="1" si="2"/>
        <v>480</v>
      </c>
      <c r="V14" s="22">
        <f t="shared" ca="1" si="2"/>
        <v>30</v>
      </c>
      <c r="W14" s="7">
        <f t="shared" ca="1" si="11"/>
        <v>3</v>
      </c>
      <c r="X14" s="19">
        <f t="shared" ca="1" si="3"/>
        <v>0.33333333333333331</v>
      </c>
      <c r="Y14" s="7">
        <f t="shared" ca="1" si="4"/>
        <v>0</v>
      </c>
      <c r="Z14" s="7">
        <f t="shared" ca="1" si="5"/>
        <v>0</v>
      </c>
      <c r="AA14" s="7">
        <f t="shared" ca="1" si="6"/>
        <v>5</v>
      </c>
    </row>
    <row r="15" spans="1:27" ht="15" thickBot="1" x14ac:dyDescent="0.4">
      <c r="A15" s="7">
        <v>13</v>
      </c>
      <c r="B15" s="11">
        <f t="shared" ca="1" si="7"/>
        <v>43964</v>
      </c>
      <c r="C15" s="12">
        <f t="shared" ca="1" si="0"/>
        <v>43964</v>
      </c>
      <c r="D15" s="12"/>
      <c r="E15" s="29">
        <v>0.39583333333333331</v>
      </c>
      <c r="F15" s="23"/>
      <c r="G15" s="29">
        <v>0.58333333333333337</v>
      </c>
      <c r="H15" s="15"/>
      <c r="I15" s="29">
        <v>0.63541666666666663</v>
      </c>
      <c r="J15" s="24"/>
      <c r="K15" s="29">
        <v>0.77083333333333337</v>
      </c>
      <c r="L15" s="9"/>
      <c r="M15" s="18">
        <f t="shared" ca="1" si="8"/>
        <v>0.3229166666666668</v>
      </c>
      <c r="N15" s="18">
        <f t="shared" ca="1" si="9"/>
        <v>0.3229166666666668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465</v>
      </c>
      <c r="U15" s="22">
        <f t="shared" ca="1" si="2"/>
        <v>465</v>
      </c>
      <c r="V15" s="22">
        <f t="shared" ca="1" si="2"/>
        <v>0</v>
      </c>
      <c r="W15" s="7">
        <f t="shared" ca="1" si="11"/>
        <v>4</v>
      </c>
      <c r="X15" s="19">
        <f t="shared" ca="1" si="3"/>
        <v>0.33333333333333331</v>
      </c>
      <c r="Y15" s="7">
        <f t="shared" ca="1" si="4"/>
        <v>0</v>
      </c>
      <c r="Z15" s="7">
        <f t="shared" ca="1" si="5"/>
        <v>0</v>
      </c>
      <c r="AA15" s="7">
        <f t="shared" ca="1" si="6"/>
        <v>5</v>
      </c>
    </row>
    <row r="16" spans="1:27" ht="15" thickBot="1" x14ac:dyDescent="0.4">
      <c r="A16" s="7">
        <v>14</v>
      </c>
      <c r="B16" s="11">
        <f t="shared" ca="1" si="7"/>
        <v>43965</v>
      </c>
      <c r="C16" s="12">
        <f t="shared" ca="1" si="0"/>
        <v>43965</v>
      </c>
      <c r="E16" s="29">
        <v>0.39583333333333331</v>
      </c>
      <c r="F16" s="23"/>
      <c r="G16" s="29">
        <v>0.58333333333333337</v>
      </c>
      <c r="H16" s="15"/>
      <c r="I16" s="29">
        <v>0.63541666666666663</v>
      </c>
      <c r="J16" s="24"/>
      <c r="K16" s="29">
        <v>0.77083333333333337</v>
      </c>
      <c r="L16" s="9"/>
      <c r="M16" s="18">
        <f t="shared" ca="1" si="8"/>
        <v>0.3229166666666668</v>
      </c>
      <c r="N16" s="18">
        <f t="shared" ca="1" si="9"/>
        <v>0.3229166666666668</v>
      </c>
      <c r="O16" s="19">
        <f t="shared" ca="1" si="1"/>
        <v>0</v>
      </c>
      <c r="P16" s="9"/>
      <c r="Q16" s="30"/>
      <c r="R16" s="21" t="s">
        <v>15</v>
      </c>
      <c r="T16" s="22">
        <f t="shared" ca="1" si="10"/>
        <v>465</v>
      </c>
      <c r="U16" s="22">
        <f t="shared" ca="1" si="2"/>
        <v>465</v>
      </c>
      <c r="V16" s="22">
        <f t="shared" ca="1" si="2"/>
        <v>0</v>
      </c>
      <c r="W16" s="7">
        <f t="shared" ca="1" si="11"/>
        <v>5</v>
      </c>
      <c r="X16" s="19">
        <f t="shared" ca="1" si="3"/>
        <v>0.33333333333333331</v>
      </c>
      <c r="Y16" s="7">
        <f t="shared" ca="1" si="4"/>
        <v>0</v>
      </c>
      <c r="Z16" s="7">
        <f t="shared" ca="1" si="5"/>
        <v>0</v>
      </c>
      <c r="AA16" s="7">
        <f t="shared" ca="1" si="6"/>
        <v>5</v>
      </c>
    </row>
    <row r="17" spans="1:27" ht="15" thickBot="1" x14ac:dyDescent="0.4">
      <c r="A17" s="7">
        <v>15</v>
      </c>
      <c r="B17" s="11">
        <f t="shared" ca="1" si="7"/>
        <v>43966</v>
      </c>
      <c r="C17" s="12">
        <f t="shared" ca="1" si="0"/>
        <v>43966</v>
      </c>
      <c r="D17" s="12"/>
      <c r="E17" s="29">
        <v>0.39583333333333331</v>
      </c>
      <c r="F17" s="23"/>
      <c r="G17" s="29">
        <v>0.73958333333333337</v>
      </c>
      <c r="H17" s="23"/>
      <c r="I17" s="29">
        <v>0</v>
      </c>
      <c r="J17" s="24"/>
      <c r="K17" s="29">
        <v>0</v>
      </c>
      <c r="L17" s="9"/>
      <c r="M17" s="18">
        <f t="shared" ca="1" si="8"/>
        <v>0.34375000000000006</v>
      </c>
      <c r="N17" s="18">
        <f t="shared" ca="1" si="9"/>
        <v>0.25</v>
      </c>
      <c r="O17" s="19">
        <f t="shared" ca="1" si="1"/>
        <v>9.3750000000000056E-2</v>
      </c>
      <c r="P17" s="9"/>
      <c r="Q17" s="30"/>
      <c r="R17" s="21" t="s">
        <v>15</v>
      </c>
      <c r="T17" s="22">
        <f t="shared" ca="1" si="10"/>
        <v>495</v>
      </c>
      <c r="U17" s="22">
        <f t="shared" ca="1" si="2"/>
        <v>360</v>
      </c>
      <c r="V17" s="22">
        <f t="shared" ca="1" si="2"/>
        <v>135</v>
      </c>
      <c r="W17" s="7">
        <f t="shared" ca="1" si="11"/>
        <v>6</v>
      </c>
      <c r="X17" s="19">
        <f t="shared" ca="1" si="3"/>
        <v>0.25</v>
      </c>
      <c r="Y17" s="7">
        <f t="shared" ca="1" si="4"/>
        <v>0</v>
      </c>
      <c r="Z17" s="7">
        <f t="shared" ca="1" si="5"/>
        <v>0</v>
      </c>
      <c r="AA17" s="7">
        <f t="shared" ca="1" si="6"/>
        <v>5</v>
      </c>
    </row>
    <row r="18" spans="1:27" ht="15" thickBot="1" x14ac:dyDescent="0.4">
      <c r="A18" s="7">
        <v>16</v>
      </c>
      <c r="B18" s="11">
        <f t="shared" ca="1" si="7"/>
        <v>43967</v>
      </c>
      <c r="C18" s="12">
        <f t="shared" ca="1" si="0"/>
        <v>43967</v>
      </c>
      <c r="E18" s="29">
        <v>0.65625</v>
      </c>
      <c r="F18" s="23"/>
      <c r="G18" s="29">
        <v>0.73958333333333337</v>
      </c>
      <c r="H18" s="23"/>
      <c r="I18" s="29">
        <v>0</v>
      </c>
      <c r="J18" s="24"/>
      <c r="K18" s="29">
        <v>0</v>
      </c>
      <c r="L18" s="9"/>
      <c r="M18" s="18">
        <f t="shared" ca="1" si="8"/>
        <v>0</v>
      </c>
      <c r="N18" s="18">
        <f t="shared" ca="1" si="9"/>
        <v>0</v>
      </c>
      <c r="O18" s="19">
        <f t="shared" ca="1" si="1"/>
        <v>0</v>
      </c>
      <c r="P18" s="9"/>
      <c r="Q18" s="30"/>
      <c r="R18" s="21" t="s">
        <v>8</v>
      </c>
      <c r="T18" s="22">
        <f t="shared" ca="1" si="10"/>
        <v>0</v>
      </c>
      <c r="U18" s="22">
        <f t="shared" ca="1" si="2"/>
        <v>0</v>
      </c>
      <c r="V18" s="22">
        <f t="shared" ca="1" si="2"/>
        <v>0</v>
      </c>
      <c r="W18" s="7">
        <f t="shared" ca="1" si="11"/>
        <v>7</v>
      </c>
      <c r="X18" s="19">
        <f t="shared" ca="1" si="3"/>
        <v>0</v>
      </c>
      <c r="Y18" s="7">
        <f t="shared" ca="1" si="4"/>
        <v>0</v>
      </c>
      <c r="Z18" s="7">
        <f t="shared" ca="1" si="5"/>
        <v>1</v>
      </c>
      <c r="AA18" s="7">
        <f t="shared" ca="1" si="6"/>
        <v>5</v>
      </c>
    </row>
    <row r="19" spans="1:27" ht="15" thickBot="1" x14ac:dyDescent="0.4">
      <c r="A19" s="7">
        <v>17</v>
      </c>
      <c r="B19" s="11">
        <f t="shared" ca="1" si="7"/>
        <v>43968</v>
      </c>
      <c r="C19" s="12">
        <f t="shared" ca="1" si="0"/>
        <v>43968</v>
      </c>
      <c r="D19" s="12"/>
      <c r="E19" s="29">
        <v>0.79166666666666663</v>
      </c>
      <c r="F19" s="23"/>
      <c r="G19" s="29">
        <v>0.5</v>
      </c>
      <c r="H19" s="15"/>
      <c r="I19" s="29">
        <v>0</v>
      </c>
      <c r="J19" s="24"/>
      <c r="K19" s="29">
        <v>0</v>
      </c>
      <c r="L19" s="9"/>
      <c r="M19" s="18">
        <f t="shared" ca="1" si="8"/>
        <v>0</v>
      </c>
      <c r="N19" s="18">
        <f t="shared" ca="1" si="9"/>
        <v>0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0</v>
      </c>
      <c r="U19" s="22">
        <f t="shared" ca="1" si="10"/>
        <v>0</v>
      </c>
      <c r="V19" s="22">
        <f t="shared" ca="1" si="10"/>
        <v>0</v>
      </c>
      <c r="W19" s="7">
        <f t="shared" ca="1" si="11"/>
        <v>1</v>
      </c>
      <c r="X19" s="19">
        <f t="shared" ca="1" si="3"/>
        <v>0</v>
      </c>
      <c r="Y19" s="7">
        <f t="shared" ca="1" si="4"/>
        <v>0</v>
      </c>
      <c r="Z19" s="7">
        <f t="shared" ca="1" si="5"/>
        <v>1</v>
      </c>
      <c r="AA19" s="7">
        <f t="shared" ca="1" si="6"/>
        <v>5</v>
      </c>
    </row>
    <row r="20" spans="1:27" ht="15" thickBot="1" x14ac:dyDescent="0.4">
      <c r="A20" s="7">
        <v>18</v>
      </c>
      <c r="B20" s="11">
        <f t="shared" ca="1" si="7"/>
        <v>43969</v>
      </c>
      <c r="C20" s="12">
        <f t="shared" ca="1" si="0"/>
        <v>43969</v>
      </c>
      <c r="E20" s="16" t="s">
        <v>3</v>
      </c>
      <c r="F20" s="23"/>
      <c r="G20" s="16" t="s">
        <v>4</v>
      </c>
      <c r="H20" s="15"/>
      <c r="I20" s="16" t="s">
        <v>30</v>
      </c>
      <c r="J20" s="24"/>
      <c r="K20" s="16" t="s">
        <v>34</v>
      </c>
      <c r="L20" s="9"/>
      <c r="M20" s="18">
        <f t="shared" ca="1" si="8"/>
        <v>0.36458333333333337</v>
      </c>
      <c r="N20" s="18">
        <f t="shared" ca="1" si="9"/>
        <v>0.33333333333333331</v>
      </c>
      <c r="O20" s="19">
        <f t="shared" ca="1" si="1"/>
        <v>3.1250000000000056E-2</v>
      </c>
      <c r="P20" s="9"/>
      <c r="Q20" s="20"/>
      <c r="R20" s="21" t="s">
        <v>8</v>
      </c>
      <c r="T20" s="22">
        <f t="shared" ca="1" si="10"/>
        <v>525</v>
      </c>
      <c r="U20" s="22">
        <f t="shared" ca="1" si="10"/>
        <v>480</v>
      </c>
      <c r="V20" s="22">
        <f t="shared" ca="1" si="10"/>
        <v>45</v>
      </c>
      <c r="W20" s="7">
        <f t="shared" ca="1" si="11"/>
        <v>2</v>
      </c>
      <c r="X20" s="19">
        <f t="shared" ca="1" si="3"/>
        <v>0.33333333333333331</v>
      </c>
      <c r="Y20" s="7">
        <f t="shared" ca="1" si="4"/>
        <v>0</v>
      </c>
      <c r="Z20" s="7">
        <f t="shared" ca="1" si="5"/>
        <v>0</v>
      </c>
      <c r="AA20" s="7">
        <f t="shared" ca="1" si="6"/>
        <v>5</v>
      </c>
    </row>
    <row r="21" spans="1:27" ht="15" thickBot="1" x14ac:dyDescent="0.4">
      <c r="A21" s="7">
        <v>19</v>
      </c>
      <c r="B21" s="11">
        <f t="shared" ca="1" si="7"/>
        <v>43970</v>
      </c>
      <c r="C21" s="12">
        <f t="shared" ca="1" si="0"/>
        <v>43970</v>
      </c>
      <c r="D21" s="12"/>
      <c r="E21" s="29">
        <v>0.39583333333333331</v>
      </c>
      <c r="F21" s="23"/>
      <c r="G21" s="29">
        <v>0.58333333333333337</v>
      </c>
      <c r="H21" s="15"/>
      <c r="I21" s="29">
        <v>0.63541666666666663</v>
      </c>
      <c r="J21" s="24"/>
      <c r="K21" s="29">
        <v>0.77083333333333337</v>
      </c>
      <c r="L21" s="9"/>
      <c r="M21" s="18">
        <f t="shared" ca="1" si="8"/>
        <v>0.3229166666666668</v>
      </c>
      <c r="N21" s="18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0.3229166666666668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465</v>
      </c>
      <c r="U21" s="22">
        <f t="shared" ca="1" si="10"/>
        <v>465</v>
      </c>
      <c r="V21" s="22">
        <f t="shared" ca="1" si="10"/>
        <v>0</v>
      </c>
      <c r="W21" s="7">
        <f t="shared" ca="1" si="11"/>
        <v>3</v>
      </c>
      <c r="X21" s="19">
        <f t="shared" ca="1" si="3"/>
        <v>0.33333333333333331</v>
      </c>
      <c r="Y21" s="7">
        <f t="shared" ca="1" si="4"/>
        <v>0</v>
      </c>
      <c r="Z21" s="7">
        <f t="shared" ca="1" si="5"/>
        <v>0</v>
      </c>
      <c r="AA21" s="7">
        <f t="shared" ca="1" si="6"/>
        <v>5</v>
      </c>
    </row>
    <row r="22" spans="1:27" ht="15" thickBot="1" x14ac:dyDescent="0.4">
      <c r="A22" s="7">
        <v>20</v>
      </c>
      <c r="B22" s="11">
        <f t="shared" ca="1" si="7"/>
        <v>43971</v>
      </c>
      <c r="C22" s="12">
        <f t="shared" ca="1" si="0"/>
        <v>43971</v>
      </c>
      <c r="E22" s="29">
        <v>0.39583333333333331</v>
      </c>
      <c r="F22" s="23"/>
      <c r="G22" s="29">
        <v>0.58333333333333337</v>
      </c>
      <c r="H22" s="15"/>
      <c r="I22" s="29">
        <v>0.63541666666666663</v>
      </c>
      <c r="J22" s="24"/>
      <c r="K22" s="29">
        <v>0.77083333333333337</v>
      </c>
      <c r="L22" s="9"/>
      <c r="M22" s="18">
        <f t="shared" ca="1" si="8"/>
        <v>0.3229166666666668</v>
      </c>
      <c r="N22" s="18">
        <f t="shared" ca="1" si="9"/>
        <v>0.3229166666666668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465</v>
      </c>
      <c r="U22" s="22">
        <f t="shared" ca="1" si="10"/>
        <v>465</v>
      </c>
      <c r="V22" s="22">
        <f t="shared" ca="1" si="10"/>
        <v>0</v>
      </c>
      <c r="W22" s="7">
        <f t="shared" ca="1" si="11"/>
        <v>4</v>
      </c>
      <c r="X22" s="19">
        <f t="shared" ca="1" si="3"/>
        <v>0.33333333333333331</v>
      </c>
      <c r="Y22" s="7">
        <f t="shared" ca="1" si="4"/>
        <v>0</v>
      </c>
      <c r="Z22" s="7">
        <f t="shared" ca="1" si="5"/>
        <v>0</v>
      </c>
      <c r="AA22" s="7">
        <f t="shared" ca="1" si="6"/>
        <v>5</v>
      </c>
    </row>
    <row r="23" spans="1:27" ht="15" thickBot="1" x14ac:dyDescent="0.4">
      <c r="A23" s="7">
        <v>21</v>
      </c>
      <c r="B23" s="11">
        <f t="shared" ca="1" si="7"/>
        <v>43972</v>
      </c>
      <c r="C23" s="12">
        <f t="shared" ca="1" si="0"/>
        <v>43972</v>
      </c>
      <c r="D23" s="12"/>
      <c r="E23" s="29">
        <v>0.39583333333333331</v>
      </c>
      <c r="F23" s="23"/>
      <c r="G23" s="29">
        <v>0.58333333333333337</v>
      </c>
      <c r="H23" s="15"/>
      <c r="I23" s="29">
        <v>0.63541666666666663</v>
      </c>
      <c r="J23" s="24"/>
      <c r="K23" s="29">
        <v>0.77083333333333337</v>
      </c>
      <c r="L23" s="9"/>
      <c r="M23" s="18">
        <f t="shared" ca="1" si="8"/>
        <v>0.3229166666666668</v>
      </c>
      <c r="N23" s="18">
        <f t="shared" ca="1" si="9"/>
        <v>0.3229166666666668</v>
      </c>
      <c r="O23" s="19">
        <f t="shared" ca="1" si="1"/>
        <v>0</v>
      </c>
      <c r="P23" s="9"/>
      <c r="Q23" s="30"/>
      <c r="R23" s="21" t="s">
        <v>15</v>
      </c>
      <c r="T23" s="22">
        <f t="shared" ca="1" si="10"/>
        <v>465</v>
      </c>
      <c r="U23" s="22">
        <f t="shared" ca="1" si="10"/>
        <v>465</v>
      </c>
      <c r="V23" s="22">
        <f t="shared" ca="1" si="10"/>
        <v>0</v>
      </c>
      <c r="W23" s="7">
        <f t="shared" ca="1" si="11"/>
        <v>5</v>
      </c>
      <c r="X23" s="19">
        <f t="shared" ca="1" si="3"/>
        <v>0.33333333333333331</v>
      </c>
      <c r="Y23" s="7">
        <f t="shared" ca="1" si="4"/>
        <v>0</v>
      </c>
      <c r="Z23" s="7">
        <f t="shared" ca="1" si="5"/>
        <v>0</v>
      </c>
      <c r="AA23" s="7">
        <f t="shared" ca="1" si="6"/>
        <v>5</v>
      </c>
    </row>
    <row r="24" spans="1:27" ht="15" thickBot="1" x14ac:dyDescent="0.4">
      <c r="A24" s="7">
        <v>22</v>
      </c>
      <c r="B24" s="11">
        <f t="shared" ca="1" si="7"/>
        <v>43973</v>
      </c>
      <c r="C24" s="12">
        <f t="shared" ca="1" si="0"/>
        <v>43973</v>
      </c>
      <c r="E24" s="29">
        <v>0.39583333333333331</v>
      </c>
      <c r="F24" s="23"/>
      <c r="G24" s="29">
        <v>0.73958333333333337</v>
      </c>
      <c r="H24" s="15"/>
      <c r="I24" s="29">
        <v>0</v>
      </c>
      <c r="J24" s="24"/>
      <c r="K24" s="29">
        <v>0</v>
      </c>
      <c r="L24" s="9"/>
      <c r="M24" s="18">
        <f t="shared" ca="1" si="8"/>
        <v>0.34375000000000006</v>
      </c>
      <c r="N24" s="18">
        <f t="shared" ca="1" si="9"/>
        <v>0.25</v>
      </c>
      <c r="O24" s="19">
        <f t="shared" ca="1" si="1"/>
        <v>9.3750000000000056E-2</v>
      </c>
      <c r="P24" s="9"/>
      <c r="Q24" s="30"/>
      <c r="R24" s="21" t="s">
        <v>15</v>
      </c>
      <c r="T24" s="22">
        <f t="shared" ca="1" si="10"/>
        <v>495</v>
      </c>
      <c r="U24" s="22">
        <f t="shared" ca="1" si="10"/>
        <v>360</v>
      </c>
      <c r="V24" s="22">
        <f t="shared" ca="1" si="10"/>
        <v>135</v>
      </c>
      <c r="W24" s="7">
        <f t="shared" ca="1" si="11"/>
        <v>6</v>
      </c>
      <c r="X24" s="19">
        <f t="shared" ca="1" si="3"/>
        <v>0.25</v>
      </c>
      <c r="Y24" s="7">
        <f t="shared" ca="1" si="4"/>
        <v>0</v>
      </c>
      <c r="Z24" s="7">
        <f t="shared" ca="1" si="5"/>
        <v>0</v>
      </c>
      <c r="AA24" s="7">
        <f t="shared" ca="1" si="6"/>
        <v>5</v>
      </c>
    </row>
    <row r="25" spans="1:27" ht="15" thickBot="1" x14ac:dyDescent="0.4">
      <c r="A25" s="7">
        <v>23</v>
      </c>
      <c r="B25" s="11">
        <f t="shared" ca="1" si="7"/>
        <v>43974</v>
      </c>
      <c r="C25" s="12">
        <f t="shared" ca="1" si="0"/>
        <v>43974</v>
      </c>
      <c r="D25" s="12"/>
      <c r="E25" s="29">
        <v>0.34375</v>
      </c>
      <c r="F25" s="23"/>
      <c r="G25" s="29">
        <v>0.73958333333333337</v>
      </c>
      <c r="H25" s="23"/>
      <c r="I25" s="29">
        <v>0</v>
      </c>
      <c r="J25" s="24"/>
      <c r="K25" s="29">
        <v>0.52083333333333337</v>
      </c>
      <c r="L25" s="9"/>
      <c r="M25" s="18">
        <f t="shared" ca="1" si="8"/>
        <v>0</v>
      </c>
      <c r="N25" s="18">
        <f t="shared" ca="1" si="9"/>
        <v>0</v>
      </c>
      <c r="O25" s="19">
        <f t="shared" ca="1" si="1"/>
        <v>0</v>
      </c>
      <c r="P25" s="9"/>
      <c r="Q25" s="30"/>
      <c r="R25" s="21" t="s">
        <v>15</v>
      </c>
      <c r="T25" s="22">
        <f t="shared" ca="1" si="10"/>
        <v>0</v>
      </c>
      <c r="U25" s="22">
        <f t="shared" ca="1" si="10"/>
        <v>0</v>
      </c>
      <c r="V25" s="22">
        <f t="shared" ca="1" si="10"/>
        <v>0</v>
      </c>
      <c r="W25" s="7">
        <f t="shared" ca="1" si="11"/>
        <v>7</v>
      </c>
      <c r="X25" s="19">
        <f t="shared" ca="1" si="3"/>
        <v>0</v>
      </c>
      <c r="Y25" s="7">
        <f t="shared" ca="1" si="4"/>
        <v>0</v>
      </c>
      <c r="Z25" s="7">
        <f t="shared" ca="1" si="5"/>
        <v>1</v>
      </c>
      <c r="AA25" s="7">
        <f t="shared" ca="1" si="6"/>
        <v>5</v>
      </c>
    </row>
    <row r="26" spans="1:27" ht="15" thickBot="1" x14ac:dyDescent="0.4">
      <c r="A26" s="7">
        <v>24</v>
      </c>
      <c r="B26" s="11">
        <f t="shared" ca="1" si="7"/>
        <v>43975</v>
      </c>
      <c r="C26" s="12">
        <f t="shared" ca="1" si="0"/>
        <v>43975</v>
      </c>
      <c r="E26" s="29">
        <v>0.79166666666666663</v>
      </c>
      <c r="F26" s="23"/>
      <c r="G26" s="16">
        <v>0.5</v>
      </c>
      <c r="H26" s="23"/>
      <c r="I26" s="29">
        <v>0</v>
      </c>
      <c r="J26" s="24"/>
      <c r="K26" s="29">
        <v>0</v>
      </c>
      <c r="L26" s="9"/>
      <c r="M26" s="18">
        <f t="shared" ca="1" si="8"/>
        <v>0</v>
      </c>
      <c r="N26" s="18">
        <f t="shared" ca="1" si="9"/>
        <v>0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0</v>
      </c>
      <c r="U26" s="22">
        <f t="shared" ca="1" si="10"/>
        <v>0</v>
      </c>
      <c r="V26" s="22">
        <f t="shared" ca="1" si="10"/>
        <v>0</v>
      </c>
      <c r="W26" s="7">
        <f t="shared" ca="1" si="11"/>
        <v>1</v>
      </c>
      <c r="X26" s="19">
        <f t="shared" ca="1" si="3"/>
        <v>0</v>
      </c>
      <c r="Y26" s="7">
        <f t="shared" ca="1" si="4"/>
        <v>0</v>
      </c>
      <c r="Z26" s="7">
        <f t="shared" ca="1" si="5"/>
        <v>1</v>
      </c>
      <c r="AA26" s="7">
        <f t="shared" ca="1" si="6"/>
        <v>5</v>
      </c>
    </row>
    <row r="27" spans="1:27" ht="15" thickBot="1" x14ac:dyDescent="0.4">
      <c r="A27" s="7">
        <v>25</v>
      </c>
      <c r="B27" s="11">
        <f t="shared" ca="1" si="7"/>
        <v>43976</v>
      </c>
      <c r="C27" s="12">
        <f t="shared" ca="1" si="0"/>
        <v>43976</v>
      </c>
      <c r="D27" s="12"/>
      <c r="E27" s="16" t="s">
        <v>3</v>
      </c>
      <c r="F27" s="23"/>
      <c r="G27" s="16" t="s">
        <v>4</v>
      </c>
      <c r="H27" s="15"/>
      <c r="I27" s="16" t="s">
        <v>32</v>
      </c>
      <c r="J27" s="24"/>
      <c r="K27" s="29" t="s">
        <v>36</v>
      </c>
      <c r="L27" s="9"/>
      <c r="M27" s="18">
        <f t="shared" ca="1" si="8"/>
        <v>0.36458333333333337</v>
      </c>
      <c r="N27" s="18">
        <f t="shared" ca="1" si="9"/>
        <v>0.33333333333333331</v>
      </c>
      <c r="O27" s="19">
        <f t="shared" ca="1" si="1"/>
        <v>3.1250000000000056E-2</v>
      </c>
      <c r="P27" s="9"/>
      <c r="Q27" s="20"/>
      <c r="R27" s="21" t="s">
        <v>8</v>
      </c>
      <c r="T27" s="22">
        <f t="shared" ca="1" si="10"/>
        <v>525</v>
      </c>
      <c r="U27" s="22">
        <f t="shared" ca="1" si="10"/>
        <v>480</v>
      </c>
      <c r="V27" s="22">
        <f t="shared" ca="1" si="10"/>
        <v>45</v>
      </c>
      <c r="W27" s="7">
        <f t="shared" ca="1" si="11"/>
        <v>2</v>
      </c>
      <c r="X27" s="19">
        <f t="shared" ca="1" si="3"/>
        <v>0.33333333333333331</v>
      </c>
      <c r="Y27" s="7">
        <f t="shared" ca="1" si="4"/>
        <v>0</v>
      </c>
      <c r="Z27" s="7">
        <f t="shared" ca="1" si="5"/>
        <v>0</v>
      </c>
      <c r="AA27" s="7">
        <f t="shared" ca="1" si="6"/>
        <v>5</v>
      </c>
    </row>
    <row r="28" spans="1:27" ht="15" thickBot="1" x14ac:dyDescent="0.4">
      <c r="A28" s="7">
        <v>26</v>
      </c>
      <c r="B28" s="11">
        <f t="shared" ca="1" si="7"/>
        <v>43977</v>
      </c>
      <c r="C28" s="12">
        <f t="shared" ca="1" si="0"/>
        <v>43977</v>
      </c>
      <c r="E28" s="16" t="s">
        <v>3</v>
      </c>
      <c r="F28" s="23"/>
      <c r="G28" s="16" t="s">
        <v>4</v>
      </c>
      <c r="H28" s="15"/>
      <c r="I28" s="16" t="s">
        <v>33</v>
      </c>
      <c r="J28" s="24"/>
      <c r="K28" s="29" t="s">
        <v>37</v>
      </c>
      <c r="L28" s="9"/>
      <c r="M28" s="18">
        <f t="shared" ca="1" si="8"/>
        <v>0.36458333333333337</v>
      </c>
      <c r="N28" s="18">
        <f t="shared" ca="1" si="9"/>
        <v>0.33333333333333331</v>
      </c>
      <c r="O28" s="19">
        <f t="shared" ca="1" si="1"/>
        <v>3.1250000000000056E-2</v>
      </c>
      <c r="P28" s="9"/>
      <c r="Q28" s="20"/>
      <c r="R28" s="21" t="s">
        <v>8</v>
      </c>
      <c r="T28" s="22">
        <f t="shared" ca="1" si="10"/>
        <v>525</v>
      </c>
      <c r="U28" s="22">
        <f t="shared" ca="1" si="10"/>
        <v>480</v>
      </c>
      <c r="V28" s="22">
        <f t="shared" ca="1" si="10"/>
        <v>45</v>
      </c>
      <c r="W28" s="7">
        <f t="shared" ca="1" si="11"/>
        <v>3</v>
      </c>
      <c r="X28" s="19">
        <f t="shared" ca="1" si="3"/>
        <v>0.33333333333333331</v>
      </c>
      <c r="Y28" s="7">
        <f t="shared" ca="1" si="4"/>
        <v>0</v>
      </c>
      <c r="Z28" s="7">
        <f t="shared" ca="1" si="5"/>
        <v>0</v>
      </c>
      <c r="AA28" s="7">
        <f t="shared" ca="1" si="6"/>
        <v>5</v>
      </c>
    </row>
    <row r="29" spans="1:27" ht="15" thickBot="1" x14ac:dyDescent="0.4">
      <c r="A29" s="7">
        <v>27</v>
      </c>
      <c r="B29" s="11">
        <f t="shared" ca="1" si="7"/>
        <v>43978</v>
      </c>
      <c r="C29" s="12">
        <f t="shared" ca="1" si="0"/>
        <v>43978</v>
      </c>
      <c r="D29" s="12"/>
      <c r="E29" s="29">
        <v>0.39583333333333331</v>
      </c>
      <c r="F29" s="23"/>
      <c r="G29" s="29">
        <v>0.58333333333333337</v>
      </c>
      <c r="H29" s="15"/>
      <c r="I29" s="29">
        <v>0.63541666666666663</v>
      </c>
      <c r="J29" s="24"/>
      <c r="K29" s="29">
        <v>0.77083333333333337</v>
      </c>
      <c r="L29" s="9"/>
      <c r="M29" s="18">
        <f t="shared" ca="1" si="8"/>
        <v>0.3229166666666668</v>
      </c>
      <c r="N29" s="18">
        <f t="shared" ca="1" si="9"/>
        <v>0.3229166666666668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465</v>
      </c>
      <c r="U29" s="22">
        <f t="shared" ca="1" si="10"/>
        <v>465</v>
      </c>
      <c r="V29" s="22">
        <f t="shared" ca="1" si="10"/>
        <v>0</v>
      </c>
      <c r="W29" s="7">
        <f t="shared" ca="1" si="11"/>
        <v>4</v>
      </c>
      <c r="X29" s="19">
        <f t="shared" ca="1" si="3"/>
        <v>0.33333333333333331</v>
      </c>
      <c r="Y29" s="7">
        <f t="shared" ca="1" si="4"/>
        <v>0</v>
      </c>
      <c r="Z29" s="7">
        <f t="shared" ca="1" si="5"/>
        <v>0</v>
      </c>
      <c r="AA29" s="7">
        <f t="shared" ca="1" si="6"/>
        <v>5</v>
      </c>
    </row>
    <row r="30" spans="1:27" ht="15" thickBot="1" x14ac:dyDescent="0.4">
      <c r="A30" s="7">
        <v>28</v>
      </c>
      <c r="B30" s="11">
        <f t="shared" ca="1" si="7"/>
        <v>43979</v>
      </c>
      <c r="C30" s="12">
        <f t="shared" ca="1" si="0"/>
        <v>43979</v>
      </c>
      <c r="E30" s="29">
        <v>0.39583333333333331</v>
      </c>
      <c r="F30" s="23"/>
      <c r="G30" s="29">
        <v>0.58333333333333337</v>
      </c>
      <c r="H30" s="15"/>
      <c r="I30" s="29">
        <v>0.63541666666666663</v>
      </c>
      <c r="J30" s="24"/>
      <c r="K30" s="29">
        <v>0.77083333333333337</v>
      </c>
      <c r="L30" s="9"/>
      <c r="M30" s="18">
        <f t="shared" ca="1" si="8"/>
        <v>0.3229166666666668</v>
      </c>
      <c r="N30" s="18">
        <f t="shared" ca="1" si="9"/>
        <v>0.3229166666666668</v>
      </c>
      <c r="O30" s="19">
        <f t="shared" ca="1" si="1"/>
        <v>0</v>
      </c>
      <c r="P30" s="9"/>
      <c r="Q30" s="30"/>
      <c r="R30" s="21" t="s">
        <v>15</v>
      </c>
      <c r="T30" s="22">
        <f t="shared" ca="1" si="10"/>
        <v>465</v>
      </c>
      <c r="U30" s="22">
        <f t="shared" ca="1" si="10"/>
        <v>465</v>
      </c>
      <c r="V30" s="22">
        <f t="shared" ca="1" si="10"/>
        <v>0</v>
      </c>
      <c r="W30" s="7">
        <f t="shared" ca="1" si="11"/>
        <v>5</v>
      </c>
      <c r="X30" s="19">
        <f t="shared" ca="1" si="3"/>
        <v>0.33333333333333331</v>
      </c>
      <c r="Y30" s="7">
        <f t="shared" ca="1" si="4"/>
        <v>0</v>
      </c>
      <c r="Z30" s="7">
        <f t="shared" ca="1" si="5"/>
        <v>0</v>
      </c>
      <c r="AA30" s="7">
        <f t="shared" ca="1" si="6"/>
        <v>5</v>
      </c>
    </row>
    <row r="31" spans="1:27" ht="15" thickBot="1" x14ac:dyDescent="0.4">
      <c r="A31" s="7">
        <v>29</v>
      </c>
      <c r="B31" s="11">
        <f t="shared" ca="1" si="7"/>
        <v>43980</v>
      </c>
      <c r="C31" s="12">
        <f t="shared" ca="1" si="0"/>
        <v>43980</v>
      </c>
      <c r="D31" s="12"/>
      <c r="E31" s="29">
        <v>0.39583333333333331</v>
      </c>
      <c r="F31" s="23"/>
      <c r="G31" s="29">
        <v>0.73958333333333337</v>
      </c>
      <c r="H31" s="15"/>
      <c r="I31" s="29">
        <v>0</v>
      </c>
      <c r="J31" s="24"/>
      <c r="K31" s="29">
        <v>0</v>
      </c>
      <c r="L31" s="9"/>
      <c r="M31" s="18">
        <f t="shared" ca="1" si="8"/>
        <v>0.34375000000000006</v>
      </c>
      <c r="N31" s="18">
        <f t="shared" ca="1" si="9"/>
        <v>0.25</v>
      </c>
      <c r="O31" s="19">
        <f t="shared" ca="1" si="1"/>
        <v>9.3750000000000056E-2</v>
      </c>
      <c r="P31" s="9"/>
      <c r="Q31" s="30"/>
      <c r="R31" s="21" t="s">
        <v>15</v>
      </c>
      <c r="T31" s="22">
        <f t="shared" ca="1" si="10"/>
        <v>495</v>
      </c>
      <c r="U31" s="22">
        <f t="shared" ca="1" si="10"/>
        <v>360</v>
      </c>
      <c r="V31" s="22">
        <f t="shared" ca="1" si="10"/>
        <v>135</v>
      </c>
      <c r="W31" s="7">
        <f t="shared" ca="1" si="11"/>
        <v>6</v>
      </c>
      <c r="X31" s="19">
        <f t="shared" ca="1" si="3"/>
        <v>0.25</v>
      </c>
      <c r="Y31" s="7">
        <f t="shared" ca="1" si="4"/>
        <v>0</v>
      </c>
      <c r="Z31" s="7">
        <f t="shared" ca="1" si="5"/>
        <v>0</v>
      </c>
      <c r="AA31" s="7">
        <f t="shared" ca="1" si="6"/>
        <v>5</v>
      </c>
    </row>
    <row r="32" spans="1:27" ht="15" thickBot="1" x14ac:dyDescent="0.4">
      <c r="A32" s="7">
        <v>30</v>
      </c>
      <c r="B32" s="11">
        <f t="shared" ca="1" si="7"/>
        <v>43981</v>
      </c>
      <c r="C32" s="12">
        <f t="shared" ca="1" si="0"/>
        <v>43981</v>
      </c>
      <c r="E32" s="29">
        <v>0.34375</v>
      </c>
      <c r="F32" s="23"/>
      <c r="G32" s="29">
        <v>0.73958333333333337</v>
      </c>
      <c r="H32" s="15"/>
      <c r="I32" s="29">
        <v>0</v>
      </c>
      <c r="J32" s="24"/>
      <c r="K32" s="29">
        <v>0.52083333333333337</v>
      </c>
      <c r="L32" s="9"/>
      <c r="M32" s="18">
        <f t="shared" ca="1" si="8"/>
        <v>0</v>
      </c>
      <c r="N32" s="18">
        <f t="shared" ca="1" si="9"/>
        <v>0</v>
      </c>
      <c r="O32" s="19">
        <f t="shared" ca="1" si="1"/>
        <v>0</v>
      </c>
      <c r="P32" s="9"/>
      <c r="Q32" s="30"/>
      <c r="R32" s="21" t="s">
        <v>15</v>
      </c>
      <c r="T32" s="22">
        <f t="shared" ca="1" si="10"/>
        <v>0</v>
      </c>
      <c r="U32" s="22">
        <f t="shared" ca="1" si="10"/>
        <v>0</v>
      </c>
      <c r="V32" s="22">
        <f t="shared" ca="1" si="10"/>
        <v>0</v>
      </c>
      <c r="W32" s="7">
        <f t="shared" ca="1" si="11"/>
        <v>7</v>
      </c>
      <c r="X32" s="19">
        <f t="shared" ca="1" si="3"/>
        <v>0</v>
      </c>
      <c r="Y32" s="7">
        <f t="shared" ca="1" si="4"/>
        <v>0</v>
      </c>
      <c r="Z32" s="7">
        <f t="shared" ca="1" si="5"/>
        <v>1</v>
      </c>
      <c r="AA32" s="7">
        <f t="shared" ca="1" si="6"/>
        <v>5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43982</v>
      </c>
      <c r="E33" s="29">
        <v>0.34375</v>
      </c>
      <c r="F33" s="23"/>
      <c r="G33" s="29">
        <v>0.73958333333333337</v>
      </c>
      <c r="H33" s="15"/>
      <c r="I33" s="29">
        <v>0</v>
      </c>
      <c r="J33" s="24"/>
      <c r="K33" s="29">
        <v>0.52083333333333337</v>
      </c>
      <c r="L33" s="9"/>
      <c r="M33" s="18">
        <f t="shared" ca="1" si="8"/>
        <v>0</v>
      </c>
      <c r="N33" s="18">
        <f t="shared" ca="1" si="9"/>
        <v>0</v>
      </c>
      <c r="O33" s="19">
        <f t="shared" ca="1" si="1"/>
        <v>0</v>
      </c>
      <c r="P33" s="9"/>
      <c r="Q33" s="20"/>
      <c r="R33" s="21" t="s">
        <v>15</v>
      </c>
      <c r="T33" s="22">
        <f t="shared" ca="1" si="10"/>
        <v>0</v>
      </c>
      <c r="U33" s="22">
        <f t="shared" ca="1" si="10"/>
        <v>0</v>
      </c>
      <c r="V33" s="22">
        <f t="shared" ca="1" si="10"/>
        <v>0</v>
      </c>
      <c r="W33" s="7">
        <f t="shared" ca="1" si="11"/>
        <v>1</v>
      </c>
      <c r="X33" s="19">
        <f t="shared" ca="1" si="3"/>
        <v>0</v>
      </c>
      <c r="Y33" s="7">
        <f t="shared" ca="1" si="4"/>
        <v>0</v>
      </c>
      <c r="Z33" s="7">
        <f t="shared" ca="1" si="5"/>
        <v>1</v>
      </c>
      <c r="AA33" s="7">
        <f t="shared" ca="1" si="6"/>
        <v>5</v>
      </c>
    </row>
    <row r="34" spans="1:27" ht="15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166.5</v>
      </c>
      <c r="N35" s="27">
        <f ca="1">SUM(U3:U33)/60</f>
        <v>153.75</v>
      </c>
      <c r="O35" s="27">
        <f ca="1">SUM(V3:V33)/60</f>
        <v>12.75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aHQDdQYNL2ap+1o+r8xj4Lo3R4IYN5qRcnyGj9gAU1s/AJ6MLu5ysAwirAihefiDgVAS+hLZUjFfkXq3Npa/1w==" saltValue="bSqdOwJMhEYwz/vs8vep3Q==" spinCount="100000" sheet="1" objects="1" scenarios="1"/>
  <mergeCells count="1">
    <mergeCell ref="B1:C1"/>
  </mergeCells>
  <conditionalFormatting sqref="G3:G33 E3:E33">
    <cfRule type="expression" dxfId="174" priority="5">
      <formula>VALUE(SUBSTITUTE($G3,":",""))&lt;VALUE(SUBSTITUTE($E3,":",""))</formula>
    </cfRule>
  </conditionalFormatting>
  <conditionalFormatting sqref="I3:I33 K3:K33">
    <cfRule type="expression" dxfId="173" priority="9">
      <formula>($K3-$I3)&lt;0</formula>
    </cfRule>
  </conditionalFormatting>
  <conditionalFormatting sqref="O3:O33">
    <cfRule type="cellIs" dxfId="172" priority="8" operator="greaterThan">
      <formula>0.1</formula>
    </cfRule>
    <cfRule type="expression" dxfId="171" priority="15">
      <formula>$R3="Fecha cerrada"</formula>
    </cfRule>
  </conditionalFormatting>
  <conditionalFormatting sqref="N3:N33">
    <cfRule type="expression" dxfId="170" priority="14">
      <formula>VALUE(SUBSTITUTE($G3,":",""))&lt;VALUE(SUBSTITUTE($E3,":",""))</formula>
    </cfRule>
  </conditionalFormatting>
  <conditionalFormatting sqref="N3:N33">
    <cfRule type="expression" dxfId="169" priority="13">
      <formula>$R3="Fecha cerrada"</formula>
    </cfRule>
  </conditionalFormatting>
  <conditionalFormatting sqref="X3:X33">
    <cfRule type="expression" dxfId="168" priority="12">
      <formula>VALUE(SUBSTITUTE($G3,":",""))&lt;VALUE(SUBSTITUTE($E3,":",""))</formula>
    </cfRule>
  </conditionalFormatting>
  <conditionalFormatting sqref="X3:X33">
    <cfRule type="expression" dxfId="167" priority="11">
      <formula>$R3="Fecha cerrada"</formula>
    </cfRule>
  </conditionalFormatting>
  <conditionalFormatting sqref="Q3:R33 N3:O33 E3:K33">
    <cfRule type="expression" dxfId="166" priority="1">
      <formula>OR($W3=1,$W3=7,$AA3&lt;&gt;_xlfn.SHEET($A$1),,IFERROR(VLOOKUP($C3,DiasVacaciones,1,FALSE+$O$14:$Q$14),0)&lt;&gt;0)</formula>
    </cfRule>
  </conditionalFormatting>
  <conditionalFormatting sqref="R3:R33">
    <cfRule type="cellIs" dxfId="165" priority="6" operator="equal">
      <formula>"Confirmar Fecha"</formula>
    </cfRule>
    <cfRule type="cellIs" dxfId="164" priority="7" operator="equal">
      <formula>"Confirmada"</formula>
    </cfRule>
  </conditionalFormatting>
  <conditionalFormatting sqref="M3:M33">
    <cfRule type="expression" dxfId="163" priority="4">
      <formula>VALUE(SUBSTITUTE($G3,":",""))&lt;VALUE(SUBSTITUTE($E3,":",""))</formula>
    </cfRule>
  </conditionalFormatting>
  <conditionalFormatting sqref="M3:M33">
    <cfRule type="expression" dxfId="162" priority="3">
      <formula>$R3="Fecha cerrada"</formula>
    </cfRule>
  </conditionalFormatting>
  <conditionalFormatting sqref="M3:M33">
    <cfRule type="expression" dxfId="161" priority="2">
      <formula>OR($W3=1,$W3=7,$Z3=1,$AA3&lt;&gt;_xlfn.SHEET($A$1))</formula>
    </cfRule>
  </conditionalFormatting>
  <conditionalFormatting sqref="E3:E33 G3:G33 I3:I33 K3:K33">
    <cfRule type="expression" dxfId="160" priority="10">
      <formula>$R3="Confirmada"</formula>
    </cfRule>
    <cfRule type="expression" dxfId="159" priority="16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G3:G33 K3:K33 I3:I33 E3:E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A39"/>
  <sheetViews>
    <sheetView showGridLines="0" workbookViewId="0">
      <selection activeCell="K33" sqref="K3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customWidth="1"/>
    <col min="20" max="20" width="6.26953125" style="7" hidden="1" customWidth="1"/>
    <col min="21" max="21" width="7.90625" style="7" hidden="1" customWidth="1"/>
    <col min="22" max="22" width="7.36328125" style="7" hidden="1" customWidth="1"/>
    <col min="23" max="24" width="10.90625" style="7" hidden="1" customWidth="1"/>
    <col min="25" max="25" width="11.1796875" style="7" hidden="1" customWidth="1"/>
    <col min="26" max="27" width="0" style="7" hidden="1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43983</v>
      </c>
      <c r="C3" s="12">
        <f t="shared" ref="C3:C33" ca="1" si="0">DATE(Anualidad,_xlfn.SHEET(B1),A3)</f>
        <v>43983</v>
      </c>
      <c r="D3" s="12"/>
      <c r="E3" s="31">
        <v>0.39583333333333331</v>
      </c>
      <c r="F3" s="14"/>
      <c r="G3" s="31">
        <v>0.58333333333333337</v>
      </c>
      <c r="H3" s="15"/>
      <c r="I3" s="29">
        <v>0.63541666666666663</v>
      </c>
      <c r="J3" s="17"/>
      <c r="K3" s="29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0.3229166666666668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0.3229166666666668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15</v>
      </c>
      <c r="T3" s="22">
        <f ca="1">MINUTE(M3)+(HOUR(M3)*60)</f>
        <v>465</v>
      </c>
      <c r="U3" s="22">
        <f t="shared" ref="U3:V18" ca="1" si="2">MINUTE(N3)+(HOUR(N3)*60)</f>
        <v>465</v>
      </c>
      <c r="V3" s="22">
        <f t="shared" ca="1" si="2"/>
        <v>0</v>
      </c>
      <c r="W3" s="7">
        <f ca="1">WEEKDAY(C3)</f>
        <v>2</v>
      </c>
      <c r="X3" s="19">
        <f t="shared" ref="X3:X33" ca="1" si="3">IF(AND(W3&lt;&gt;7,W3&lt;&gt;1),IF(W3=DiaSemanaIntensiva,HorasIntensiva,HorasOrdinarias),0)</f>
        <v>0.33333333333333331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0</v>
      </c>
      <c r="AA3" s="7">
        <f t="shared" ref="AA3:AA33" ca="1" si="6">MONTH(C3)</f>
        <v>6</v>
      </c>
    </row>
    <row r="4" spans="1:27" ht="15" thickBot="1" x14ac:dyDescent="0.4">
      <c r="A4" s="7">
        <v>2</v>
      </c>
      <c r="B4" s="11">
        <f t="shared" ref="B4:B32" ca="1" si="7">C4</f>
        <v>43984</v>
      </c>
      <c r="C4" s="12">
        <f t="shared" ca="1" si="0"/>
        <v>43984</v>
      </c>
      <c r="E4" s="29">
        <v>0.39583333333333331</v>
      </c>
      <c r="F4" s="23"/>
      <c r="G4" s="29">
        <v>0.58333333333333337</v>
      </c>
      <c r="H4" s="15"/>
      <c r="I4" s="29">
        <v>0.63541666666666663</v>
      </c>
      <c r="J4" s="24"/>
      <c r="K4" s="29">
        <v>0.77083333333333337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0.3229166666666668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0.3229166666666668</v>
      </c>
      <c r="O4" s="19">
        <f t="shared" ca="1" si="1"/>
        <v>0</v>
      </c>
      <c r="P4" s="9"/>
      <c r="Q4" s="30"/>
      <c r="R4" s="21" t="s">
        <v>15</v>
      </c>
      <c r="T4" s="22">
        <f t="shared" ref="T4:V33" ca="1" si="10">MINUTE(M4)+(HOUR(M4)*60)</f>
        <v>465</v>
      </c>
      <c r="U4" s="22">
        <f t="shared" ca="1" si="2"/>
        <v>465</v>
      </c>
      <c r="V4" s="22">
        <f t="shared" ca="1" si="2"/>
        <v>0</v>
      </c>
      <c r="W4" s="7">
        <f t="shared" ref="W4:W33" ca="1" si="11">WEEKDAY(C4)</f>
        <v>3</v>
      </c>
      <c r="X4" s="19">
        <f t="shared" ca="1" si="3"/>
        <v>0.33333333333333331</v>
      </c>
      <c r="Y4" s="7">
        <f t="shared" ca="1" si="4"/>
        <v>0</v>
      </c>
      <c r="Z4" s="7">
        <f t="shared" ca="1" si="5"/>
        <v>0</v>
      </c>
      <c r="AA4" s="7">
        <f t="shared" ca="1" si="6"/>
        <v>6</v>
      </c>
    </row>
    <row r="5" spans="1:27" ht="15" thickBot="1" x14ac:dyDescent="0.4">
      <c r="A5" s="7">
        <v>3</v>
      </c>
      <c r="B5" s="11">
        <f t="shared" ca="1" si="7"/>
        <v>43985</v>
      </c>
      <c r="C5" s="12">
        <f t="shared" ca="1" si="0"/>
        <v>43985</v>
      </c>
      <c r="D5" s="12"/>
      <c r="E5" s="29">
        <v>0.39583333333333331</v>
      </c>
      <c r="F5" s="23"/>
      <c r="G5" s="29">
        <v>0.58333333333333337</v>
      </c>
      <c r="H5" s="15"/>
      <c r="I5" s="29">
        <v>0.63541666666666663</v>
      </c>
      <c r="J5" s="24"/>
      <c r="K5" s="29">
        <v>0.77083333333333337</v>
      </c>
      <c r="L5" s="9"/>
      <c r="M5" s="18">
        <f t="shared" ca="1" si="8"/>
        <v>0.3229166666666668</v>
      </c>
      <c r="N5" s="18">
        <f t="shared" ca="1" si="9"/>
        <v>0.3229166666666668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465</v>
      </c>
      <c r="U5" s="22">
        <f t="shared" ca="1" si="2"/>
        <v>465</v>
      </c>
      <c r="V5" s="22">
        <f t="shared" ca="1" si="2"/>
        <v>0</v>
      </c>
      <c r="W5" s="7">
        <f t="shared" ca="1" si="11"/>
        <v>4</v>
      </c>
      <c r="X5" s="19">
        <f t="shared" ca="1" si="3"/>
        <v>0.33333333333333331</v>
      </c>
      <c r="Y5" s="7">
        <f t="shared" ca="1" si="4"/>
        <v>0</v>
      </c>
      <c r="Z5" s="7">
        <f t="shared" ca="1" si="5"/>
        <v>0</v>
      </c>
      <c r="AA5" s="7">
        <f t="shared" ca="1" si="6"/>
        <v>6</v>
      </c>
    </row>
    <row r="6" spans="1:27" ht="15" thickBot="1" x14ac:dyDescent="0.4">
      <c r="A6" s="7">
        <v>4</v>
      </c>
      <c r="B6" s="11">
        <f t="shared" ca="1" si="7"/>
        <v>43986</v>
      </c>
      <c r="C6" s="12">
        <f t="shared" ca="1" si="0"/>
        <v>43986</v>
      </c>
      <c r="E6" s="29">
        <v>0.39583333333333331</v>
      </c>
      <c r="F6" s="23"/>
      <c r="G6" s="29">
        <v>0.58333333333333337</v>
      </c>
      <c r="H6" s="15"/>
      <c r="I6" s="29">
        <v>0.63541666666666663</v>
      </c>
      <c r="J6" s="24"/>
      <c r="K6" s="29">
        <v>0.77083333333333337</v>
      </c>
      <c r="L6" s="9"/>
      <c r="M6" s="18">
        <f t="shared" ca="1" si="8"/>
        <v>0.3229166666666668</v>
      </c>
      <c r="N6" s="18">
        <f t="shared" ca="1" si="9"/>
        <v>0.3229166666666668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465</v>
      </c>
      <c r="U6" s="22">
        <f t="shared" ca="1" si="2"/>
        <v>465</v>
      </c>
      <c r="V6" s="22">
        <f t="shared" ca="1" si="2"/>
        <v>0</v>
      </c>
      <c r="W6" s="7">
        <f t="shared" ca="1" si="11"/>
        <v>5</v>
      </c>
      <c r="X6" s="19">
        <f t="shared" ca="1" si="3"/>
        <v>0.33333333333333331</v>
      </c>
      <c r="Y6" s="7">
        <f t="shared" ca="1" si="4"/>
        <v>0</v>
      </c>
      <c r="Z6" s="7">
        <f t="shared" ca="1" si="5"/>
        <v>0</v>
      </c>
      <c r="AA6" s="7">
        <f t="shared" ca="1" si="6"/>
        <v>6</v>
      </c>
    </row>
    <row r="7" spans="1:27" ht="15" thickBot="1" x14ac:dyDescent="0.4">
      <c r="A7" s="7">
        <v>5</v>
      </c>
      <c r="B7" s="11">
        <f t="shared" ca="1" si="7"/>
        <v>43987</v>
      </c>
      <c r="C7" s="12">
        <f t="shared" ca="1" si="0"/>
        <v>43987</v>
      </c>
      <c r="D7" s="12"/>
      <c r="E7" s="16" t="s">
        <v>3</v>
      </c>
      <c r="F7" s="23"/>
      <c r="G7" s="16" t="s">
        <v>4</v>
      </c>
      <c r="H7" s="15"/>
      <c r="I7" s="16" t="s">
        <v>5</v>
      </c>
      <c r="J7" s="24"/>
      <c r="K7" s="16" t="s">
        <v>6</v>
      </c>
      <c r="L7" s="9"/>
      <c r="M7" s="18">
        <f t="shared" ca="1" si="8"/>
        <v>0.35416666666666674</v>
      </c>
      <c r="N7" s="18">
        <f t="shared" ca="1" si="9"/>
        <v>0.25</v>
      </c>
      <c r="O7" s="19">
        <f t="shared" ca="1" si="1"/>
        <v>0.10416666666666674</v>
      </c>
      <c r="P7" s="9"/>
      <c r="Q7" s="20"/>
      <c r="R7" s="21" t="s">
        <v>15</v>
      </c>
      <c r="T7" s="22">
        <f t="shared" ca="1" si="10"/>
        <v>510</v>
      </c>
      <c r="U7" s="22">
        <f t="shared" ca="1" si="2"/>
        <v>360</v>
      </c>
      <c r="V7" s="22">
        <f t="shared" ca="1" si="2"/>
        <v>150</v>
      </c>
      <c r="W7" s="7">
        <f t="shared" ca="1" si="11"/>
        <v>6</v>
      </c>
      <c r="X7" s="19">
        <f t="shared" ca="1" si="3"/>
        <v>0.25</v>
      </c>
      <c r="Y7" s="7">
        <f t="shared" ca="1" si="4"/>
        <v>0</v>
      </c>
      <c r="Z7" s="7">
        <f t="shared" ca="1" si="5"/>
        <v>0</v>
      </c>
      <c r="AA7" s="7">
        <f t="shared" ca="1" si="6"/>
        <v>6</v>
      </c>
    </row>
    <row r="8" spans="1:27" ht="15" thickBot="1" x14ac:dyDescent="0.4">
      <c r="A8" s="7">
        <v>6</v>
      </c>
      <c r="B8" s="11">
        <f t="shared" ca="1" si="7"/>
        <v>43988</v>
      </c>
      <c r="C8" s="12">
        <f t="shared" ca="1" si="0"/>
        <v>43988</v>
      </c>
      <c r="E8" s="29">
        <v>0.34375</v>
      </c>
      <c r="F8" s="23"/>
      <c r="G8" s="29">
        <v>0.5</v>
      </c>
      <c r="H8" s="15"/>
      <c r="I8" s="29">
        <v>0</v>
      </c>
      <c r="J8" s="24"/>
      <c r="K8" s="29">
        <v>0.52083333333333337</v>
      </c>
      <c r="L8" s="9"/>
      <c r="M8" s="18">
        <f t="shared" ca="1" si="8"/>
        <v>0</v>
      </c>
      <c r="N8" s="18">
        <f t="shared" ca="1" si="9"/>
        <v>0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0</v>
      </c>
      <c r="U8" s="22">
        <f t="shared" ca="1" si="2"/>
        <v>0</v>
      </c>
      <c r="V8" s="22">
        <f t="shared" ca="1" si="2"/>
        <v>0</v>
      </c>
      <c r="W8" s="7">
        <f t="shared" ca="1" si="11"/>
        <v>7</v>
      </c>
      <c r="X8" s="19">
        <f t="shared" ca="1" si="3"/>
        <v>0</v>
      </c>
      <c r="Y8" s="7">
        <f t="shared" ca="1" si="4"/>
        <v>0</v>
      </c>
      <c r="Z8" s="7">
        <f t="shared" ca="1" si="5"/>
        <v>1</v>
      </c>
      <c r="AA8" s="7">
        <f t="shared" ca="1" si="6"/>
        <v>6</v>
      </c>
    </row>
    <row r="9" spans="1:27" ht="15" thickBot="1" x14ac:dyDescent="0.4">
      <c r="A9" s="7">
        <v>7</v>
      </c>
      <c r="B9" s="11">
        <f t="shared" ca="1" si="7"/>
        <v>43989</v>
      </c>
      <c r="C9" s="12">
        <f t="shared" ca="1" si="0"/>
        <v>43989</v>
      </c>
      <c r="D9" s="12"/>
      <c r="E9" s="29">
        <v>0.39583333333333331</v>
      </c>
      <c r="F9" s="23"/>
      <c r="G9" s="29">
        <v>0.73958333333333337</v>
      </c>
      <c r="H9" s="23"/>
      <c r="I9" s="29">
        <v>0</v>
      </c>
      <c r="J9" s="24"/>
      <c r="K9" s="29">
        <v>0</v>
      </c>
      <c r="L9" s="9"/>
      <c r="M9" s="18">
        <f t="shared" ca="1" si="8"/>
        <v>0</v>
      </c>
      <c r="N9" s="18">
        <f t="shared" ca="1" si="9"/>
        <v>0</v>
      </c>
      <c r="O9" s="19">
        <f t="shared" ca="1" si="1"/>
        <v>0</v>
      </c>
      <c r="P9" s="9"/>
      <c r="Q9" s="30"/>
      <c r="R9" s="21" t="s">
        <v>15</v>
      </c>
      <c r="T9" s="22">
        <f t="shared" ca="1" si="10"/>
        <v>0</v>
      </c>
      <c r="U9" s="22">
        <f t="shared" ca="1" si="2"/>
        <v>0</v>
      </c>
      <c r="V9" s="22">
        <f t="shared" ca="1" si="2"/>
        <v>0</v>
      </c>
      <c r="W9" s="7">
        <f t="shared" ca="1" si="11"/>
        <v>1</v>
      </c>
      <c r="X9" s="19">
        <f t="shared" ca="1" si="3"/>
        <v>0</v>
      </c>
      <c r="Y9" s="7">
        <f t="shared" ca="1" si="4"/>
        <v>0</v>
      </c>
      <c r="Z9" s="7">
        <f t="shared" ca="1" si="5"/>
        <v>1</v>
      </c>
      <c r="AA9" s="7">
        <f t="shared" ca="1" si="6"/>
        <v>6</v>
      </c>
    </row>
    <row r="10" spans="1:27" ht="15" thickBot="1" x14ac:dyDescent="0.4">
      <c r="A10" s="7">
        <v>8</v>
      </c>
      <c r="B10" s="11">
        <f t="shared" ca="1" si="7"/>
        <v>43990</v>
      </c>
      <c r="C10" s="12">
        <f t="shared" ca="1" si="0"/>
        <v>43990</v>
      </c>
      <c r="E10" s="29">
        <v>0.39583333333333331</v>
      </c>
      <c r="F10" s="23"/>
      <c r="G10" s="29">
        <v>0.58333333333333337</v>
      </c>
      <c r="H10" s="23"/>
      <c r="I10" s="29">
        <v>0.63541666666666663</v>
      </c>
      <c r="J10" s="24"/>
      <c r="K10" s="29">
        <v>0.77083333333333337</v>
      </c>
      <c r="L10" s="9"/>
      <c r="M10" s="18">
        <f t="shared" ca="1" si="8"/>
        <v>0.3229166666666668</v>
      </c>
      <c r="N10" s="18">
        <f t="shared" ca="1" si="9"/>
        <v>0.3229166666666668</v>
      </c>
      <c r="O10" s="19">
        <f t="shared" ca="1" si="1"/>
        <v>0</v>
      </c>
      <c r="P10" s="9"/>
      <c r="Q10" s="20"/>
      <c r="R10" s="21" t="s">
        <v>15</v>
      </c>
      <c r="T10" s="22">
        <f t="shared" ca="1" si="10"/>
        <v>465</v>
      </c>
      <c r="U10" s="22">
        <f t="shared" ca="1" si="2"/>
        <v>465</v>
      </c>
      <c r="V10" s="22">
        <f t="shared" ca="1" si="2"/>
        <v>0</v>
      </c>
      <c r="W10" s="7">
        <f t="shared" ca="1" si="11"/>
        <v>2</v>
      </c>
      <c r="X10" s="19">
        <f t="shared" ca="1" si="3"/>
        <v>0.33333333333333331</v>
      </c>
      <c r="Y10" s="7">
        <f t="shared" ca="1" si="4"/>
        <v>0</v>
      </c>
      <c r="Z10" s="7">
        <f t="shared" ca="1" si="5"/>
        <v>0</v>
      </c>
      <c r="AA10" s="7">
        <f t="shared" ca="1" si="6"/>
        <v>6</v>
      </c>
    </row>
    <row r="11" spans="1:27" ht="15" thickBot="1" x14ac:dyDescent="0.4">
      <c r="A11" s="7">
        <v>9</v>
      </c>
      <c r="B11" s="11">
        <f t="shared" ca="1" si="7"/>
        <v>43991</v>
      </c>
      <c r="C11" s="12">
        <f t="shared" ca="1" si="0"/>
        <v>43991</v>
      </c>
      <c r="D11" s="12"/>
      <c r="E11" s="29">
        <v>0.39583333333333331</v>
      </c>
      <c r="F11" s="23"/>
      <c r="G11" s="29">
        <v>0.58333333333333337</v>
      </c>
      <c r="H11" s="15"/>
      <c r="I11" s="29">
        <v>0.63541666666666663</v>
      </c>
      <c r="J11" s="24"/>
      <c r="K11" s="29">
        <v>0.77083333333333337</v>
      </c>
      <c r="L11" s="9"/>
      <c r="M11" s="18">
        <f t="shared" ca="1" si="8"/>
        <v>0.3229166666666668</v>
      </c>
      <c r="N11" s="18">
        <f t="shared" ca="1" si="9"/>
        <v>0.3229166666666668</v>
      </c>
      <c r="O11" s="19">
        <f t="shared" ca="1" si="1"/>
        <v>0</v>
      </c>
      <c r="P11" s="9"/>
      <c r="Q11" s="30"/>
      <c r="R11" s="21" t="s">
        <v>15</v>
      </c>
      <c r="T11" s="22">
        <f t="shared" ca="1" si="10"/>
        <v>465</v>
      </c>
      <c r="U11" s="22">
        <f t="shared" ca="1" si="2"/>
        <v>465</v>
      </c>
      <c r="V11" s="22">
        <f t="shared" ca="1" si="2"/>
        <v>0</v>
      </c>
      <c r="W11" s="7">
        <f t="shared" ca="1" si="11"/>
        <v>3</v>
      </c>
      <c r="X11" s="19">
        <f t="shared" ca="1" si="3"/>
        <v>0.33333333333333331</v>
      </c>
      <c r="Y11" s="7">
        <f t="shared" ca="1" si="4"/>
        <v>0</v>
      </c>
      <c r="Z11" s="7">
        <f t="shared" ca="1" si="5"/>
        <v>0</v>
      </c>
      <c r="AA11" s="7">
        <f t="shared" ca="1" si="6"/>
        <v>6</v>
      </c>
    </row>
    <row r="12" spans="1:27" ht="15" thickBot="1" x14ac:dyDescent="0.4">
      <c r="A12" s="7">
        <v>10</v>
      </c>
      <c r="B12" s="11">
        <f t="shared" ca="1" si="7"/>
        <v>43992</v>
      </c>
      <c r="C12" s="12">
        <f t="shared" ca="1" si="0"/>
        <v>43992</v>
      </c>
      <c r="E12" s="29">
        <v>0.39583333333333331</v>
      </c>
      <c r="F12" s="23"/>
      <c r="G12" s="29">
        <v>0.58333333333333337</v>
      </c>
      <c r="H12" s="15"/>
      <c r="I12" s="29">
        <v>0.63541666666666663</v>
      </c>
      <c r="J12" s="24"/>
      <c r="K12" s="29">
        <v>0.77083333333333337</v>
      </c>
      <c r="L12" s="9"/>
      <c r="M12" s="18">
        <f t="shared" ca="1" si="8"/>
        <v>0.3229166666666668</v>
      </c>
      <c r="N12" s="18">
        <f t="shared" ca="1" si="9"/>
        <v>0.3229166666666668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465</v>
      </c>
      <c r="U12" s="22">
        <f t="shared" ca="1" si="2"/>
        <v>465</v>
      </c>
      <c r="V12" s="22">
        <f t="shared" ca="1" si="2"/>
        <v>0</v>
      </c>
      <c r="W12" s="7">
        <f t="shared" ca="1" si="11"/>
        <v>4</v>
      </c>
      <c r="X12" s="19">
        <f t="shared" ca="1" si="3"/>
        <v>0.33333333333333331</v>
      </c>
      <c r="Y12" s="7">
        <f t="shared" ca="1" si="4"/>
        <v>0</v>
      </c>
      <c r="Z12" s="7">
        <f t="shared" ca="1" si="5"/>
        <v>0</v>
      </c>
      <c r="AA12" s="7">
        <f t="shared" ca="1" si="6"/>
        <v>6</v>
      </c>
    </row>
    <row r="13" spans="1:27" ht="15" thickBot="1" x14ac:dyDescent="0.4">
      <c r="A13" s="7">
        <v>11</v>
      </c>
      <c r="B13" s="11">
        <f t="shared" ca="1" si="7"/>
        <v>43993</v>
      </c>
      <c r="C13" s="12">
        <f t="shared" ca="1" si="0"/>
        <v>43993</v>
      </c>
      <c r="D13" s="12"/>
      <c r="E13" s="29">
        <v>0.39583333333333331</v>
      </c>
      <c r="F13" s="23"/>
      <c r="G13" s="29">
        <v>0.58333333333333337</v>
      </c>
      <c r="H13" s="15"/>
      <c r="I13" s="29">
        <v>0.63541666666666663</v>
      </c>
      <c r="J13" s="24"/>
      <c r="K13" s="29">
        <v>0.77083333333333337</v>
      </c>
      <c r="L13" s="9"/>
      <c r="M13" s="18">
        <f t="shared" ca="1" si="8"/>
        <v>0.3229166666666668</v>
      </c>
      <c r="N13" s="18">
        <f t="shared" ca="1" si="9"/>
        <v>0.3229166666666668</v>
      </c>
      <c r="O13" s="19">
        <f t="shared" ca="1" si="1"/>
        <v>0</v>
      </c>
      <c r="P13" s="9"/>
      <c r="Q13" s="20"/>
      <c r="R13" s="21" t="s">
        <v>15</v>
      </c>
      <c r="T13" s="22">
        <f t="shared" ca="1" si="10"/>
        <v>465</v>
      </c>
      <c r="U13" s="22">
        <f t="shared" ca="1" si="2"/>
        <v>465</v>
      </c>
      <c r="V13" s="22">
        <f t="shared" ca="1" si="2"/>
        <v>0</v>
      </c>
      <c r="W13" s="7">
        <f t="shared" ca="1" si="11"/>
        <v>5</v>
      </c>
      <c r="X13" s="19">
        <f t="shared" ca="1" si="3"/>
        <v>0.33333333333333331</v>
      </c>
      <c r="Y13" s="7">
        <f t="shared" ca="1" si="4"/>
        <v>0</v>
      </c>
      <c r="Z13" s="7">
        <f t="shared" ca="1" si="5"/>
        <v>0</v>
      </c>
      <c r="AA13" s="7">
        <f t="shared" ca="1" si="6"/>
        <v>6</v>
      </c>
    </row>
    <row r="14" spans="1:27" ht="15" thickBot="1" x14ac:dyDescent="0.4">
      <c r="A14" s="7">
        <v>12</v>
      </c>
      <c r="B14" s="11">
        <f t="shared" ca="1" si="7"/>
        <v>43994</v>
      </c>
      <c r="C14" s="12">
        <f t="shared" ca="1" si="0"/>
        <v>43994</v>
      </c>
      <c r="E14" s="16" t="s">
        <v>3</v>
      </c>
      <c r="F14" s="23"/>
      <c r="G14" s="16" t="s">
        <v>4</v>
      </c>
      <c r="H14" s="15"/>
      <c r="I14" s="16" t="s">
        <v>5</v>
      </c>
      <c r="J14" s="24"/>
      <c r="K14" s="16" t="s">
        <v>6</v>
      </c>
      <c r="L14" s="9"/>
      <c r="M14" s="18">
        <f t="shared" ca="1" si="8"/>
        <v>0.35416666666666674</v>
      </c>
      <c r="N14" s="18">
        <f t="shared" ca="1" si="9"/>
        <v>0.25</v>
      </c>
      <c r="O14" s="19">
        <f t="shared" ca="1" si="1"/>
        <v>0.10416666666666674</v>
      </c>
      <c r="P14" s="9"/>
      <c r="Q14" s="20"/>
      <c r="R14" s="21" t="s">
        <v>15</v>
      </c>
      <c r="T14" s="22">
        <f t="shared" ca="1" si="10"/>
        <v>510</v>
      </c>
      <c r="U14" s="22">
        <f t="shared" ca="1" si="2"/>
        <v>360</v>
      </c>
      <c r="V14" s="22">
        <f t="shared" ca="1" si="2"/>
        <v>150</v>
      </c>
      <c r="W14" s="7">
        <f t="shared" ca="1" si="11"/>
        <v>6</v>
      </c>
      <c r="X14" s="19">
        <f t="shared" ca="1" si="3"/>
        <v>0.25</v>
      </c>
      <c r="Y14" s="7">
        <f t="shared" ca="1" si="4"/>
        <v>0</v>
      </c>
      <c r="Z14" s="7">
        <f t="shared" ca="1" si="5"/>
        <v>0</v>
      </c>
      <c r="AA14" s="7">
        <f t="shared" ca="1" si="6"/>
        <v>6</v>
      </c>
    </row>
    <row r="15" spans="1:27" ht="15" thickBot="1" x14ac:dyDescent="0.4">
      <c r="A15" s="7">
        <v>13</v>
      </c>
      <c r="B15" s="11">
        <f t="shared" ca="1" si="7"/>
        <v>43995</v>
      </c>
      <c r="C15" s="12">
        <f t="shared" ca="1" si="0"/>
        <v>43995</v>
      </c>
      <c r="D15" s="12"/>
      <c r="E15" s="29">
        <v>0.34375</v>
      </c>
      <c r="F15" s="23"/>
      <c r="G15" s="29">
        <v>0.5</v>
      </c>
      <c r="H15" s="15"/>
      <c r="I15" s="29">
        <v>0</v>
      </c>
      <c r="J15" s="24"/>
      <c r="K15" s="29">
        <v>0.52083333333333337</v>
      </c>
      <c r="L15" s="9"/>
      <c r="M15" s="18">
        <f t="shared" ca="1" si="8"/>
        <v>0</v>
      </c>
      <c r="N15" s="18">
        <f t="shared" ca="1" si="9"/>
        <v>0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0</v>
      </c>
      <c r="U15" s="22">
        <f t="shared" ca="1" si="2"/>
        <v>0</v>
      </c>
      <c r="V15" s="22">
        <f t="shared" ca="1" si="2"/>
        <v>0</v>
      </c>
      <c r="W15" s="7">
        <f t="shared" ca="1" si="11"/>
        <v>7</v>
      </c>
      <c r="X15" s="19">
        <f t="shared" ca="1" si="3"/>
        <v>0</v>
      </c>
      <c r="Y15" s="7">
        <f t="shared" ca="1" si="4"/>
        <v>0</v>
      </c>
      <c r="Z15" s="7">
        <f t="shared" ca="1" si="5"/>
        <v>1</v>
      </c>
      <c r="AA15" s="7">
        <f t="shared" ca="1" si="6"/>
        <v>6</v>
      </c>
    </row>
    <row r="16" spans="1:27" ht="15" thickBot="1" x14ac:dyDescent="0.4">
      <c r="A16" s="7">
        <v>14</v>
      </c>
      <c r="B16" s="11">
        <f t="shared" ca="1" si="7"/>
        <v>43996</v>
      </c>
      <c r="C16" s="12">
        <f t="shared" ca="1" si="0"/>
        <v>43996</v>
      </c>
      <c r="E16" s="29">
        <v>0.39583333333333331</v>
      </c>
      <c r="F16" s="23"/>
      <c r="G16" s="29">
        <v>0.73958333333333337</v>
      </c>
      <c r="H16" s="15"/>
      <c r="I16" s="29">
        <v>0</v>
      </c>
      <c r="J16" s="24"/>
      <c r="K16" s="16">
        <v>0</v>
      </c>
      <c r="L16" s="9"/>
      <c r="M16" s="18">
        <f t="shared" ca="1" si="8"/>
        <v>0</v>
      </c>
      <c r="N16" s="18">
        <f t="shared" ca="1" si="9"/>
        <v>0</v>
      </c>
      <c r="O16" s="19">
        <f t="shared" ca="1" si="1"/>
        <v>0</v>
      </c>
      <c r="P16" s="9"/>
      <c r="Q16" s="30"/>
      <c r="R16" s="21" t="s">
        <v>15</v>
      </c>
      <c r="T16" s="22">
        <f t="shared" ca="1" si="10"/>
        <v>0</v>
      </c>
      <c r="U16" s="22">
        <f t="shared" ca="1" si="2"/>
        <v>0</v>
      </c>
      <c r="V16" s="22">
        <f t="shared" ca="1" si="2"/>
        <v>0</v>
      </c>
      <c r="W16" s="7">
        <f t="shared" ca="1" si="11"/>
        <v>1</v>
      </c>
      <c r="X16" s="19">
        <f t="shared" ca="1" si="3"/>
        <v>0</v>
      </c>
      <c r="Y16" s="7">
        <f t="shared" ca="1" si="4"/>
        <v>0</v>
      </c>
      <c r="Z16" s="7">
        <f t="shared" ca="1" si="5"/>
        <v>1</v>
      </c>
      <c r="AA16" s="7">
        <f t="shared" ca="1" si="6"/>
        <v>6</v>
      </c>
    </row>
    <row r="17" spans="1:27" ht="15" thickBot="1" x14ac:dyDescent="0.4">
      <c r="A17" s="7">
        <v>15</v>
      </c>
      <c r="B17" s="11">
        <f t="shared" ca="1" si="7"/>
        <v>43997</v>
      </c>
      <c r="C17" s="12">
        <f t="shared" ca="1" si="0"/>
        <v>43997</v>
      </c>
      <c r="D17" s="12"/>
      <c r="E17" s="29">
        <v>0.39583333333333331</v>
      </c>
      <c r="F17" s="23"/>
      <c r="G17" s="29">
        <v>0.58333333333333337</v>
      </c>
      <c r="H17" s="23"/>
      <c r="I17" s="29">
        <v>0.63541666666666663</v>
      </c>
      <c r="J17" s="24"/>
      <c r="K17" s="29">
        <v>0.77083333333333337</v>
      </c>
      <c r="L17" s="9"/>
      <c r="M17" s="18">
        <f t="shared" ca="1" si="8"/>
        <v>0.3229166666666668</v>
      </c>
      <c r="N17" s="18">
        <f t="shared" ca="1" si="9"/>
        <v>0.3229166666666668</v>
      </c>
      <c r="O17" s="19">
        <f t="shared" ca="1" si="1"/>
        <v>0</v>
      </c>
      <c r="P17" s="9"/>
      <c r="Q17" s="30"/>
      <c r="R17" s="21" t="s">
        <v>15</v>
      </c>
      <c r="T17" s="22">
        <f t="shared" ca="1" si="10"/>
        <v>465</v>
      </c>
      <c r="U17" s="22">
        <f t="shared" ca="1" si="2"/>
        <v>465</v>
      </c>
      <c r="V17" s="22">
        <f t="shared" ca="1" si="2"/>
        <v>0</v>
      </c>
      <c r="W17" s="7">
        <f t="shared" ca="1" si="11"/>
        <v>2</v>
      </c>
      <c r="X17" s="19">
        <f t="shared" ca="1" si="3"/>
        <v>0.33333333333333331</v>
      </c>
      <c r="Y17" s="7">
        <f t="shared" ca="1" si="4"/>
        <v>0</v>
      </c>
      <c r="Z17" s="7">
        <f t="shared" ca="1" si="5"/>
        <v>0</v>
      </c>
      <c r="AA17" s="7">
        <f t="shared" ca="1" si="6"/>
        <v>6</v>
      </c>
    </row>
    <row r="18" spans="1:27" ht="15" thickBot="1" x14ac:dyDescent="0.4">
      <c r="A18" s="7">
        <v>16</v>
      </c>
      <c r="B18" s="11">
        <f t="shared" ca="1" si="7"/>
        <v>43998</v>
      </c>
      <c r="C18" s="12">
        <f t="shared" ca="1" si="0"/>
        <v>43998</v>
      </c>
      <c r="E18" s="29">
        <v>0.39583333333333331</v>
      </c>
      <c r="F18" s="23"/>
      <c r="G18" s="29">
        <v>0.58333333333333337</v>
      </c>
      <c r="H18" s="23"/>
      <c r="I18" s="29">
        <v>0.63541666666666663</v>
      </c>
      <c r="J18" s="24"/>
      <c r="K18" s="29">
        <v>0.77083333333333337</v>
      </c>
      <c r="L18" s="9"/>
      <c r="M18" s="18">
        <f t="shared" ca="1" si="8"/>
        <v>0.3229166666666668</v>
      </c>
      <c r="N18" s="18">
        <f t="shared" ca="1" si="9"/>
        <v>0.3229166666666668</v>
      </c>
      <c r="O18" s="19">
        <f t="shared" ca="1" si="1"/>
        <v>0</v>
      </c>
      <c r="P18" s="9"/>
      <c r="Q18" s="30"/>
      <c r="R18" s="21" t="s">
        <v>15</v>
      </c>
      <c r="T18" s="22">
        <f t="shared" ca="1" si="10"/>
        <v>465</v>
      </c>
      <c r="U18" s="22">
        <f t="shared" ca="1" si="2"/>
        <v>465</v>
      </c>
      <c r="V18" s="22">
        <f t="shared" ca="1" si="2"/>
        <v>0</v>
      </c>
      <c r="W18" s="7">
        <f t="shared" ca="1" si="11"/>
        <v>3</v>
      </c>
      <c r="X18" s="19">
        <f t="shared" ca="1" si="3"/>
        <v>0.33333333333333331</v>
      </c>
      <c r="Y18" s="7">
        <f t="shared" ca="1" si="4"/>
        <v>0</v>
      </c>
      <c r="Z18" s="7">
        <f t="shared" ca="1" si="5"/>
        <v>0</v>
      </c>
      <c r="AA18" s="7">
        <f t="shared" ca="1" si="6"/>
        <v>6</v>
      </c>
    </row>
    <row r="19" spans="1:27" ht="15" thickBot="1" x14ac:dyDescent="0.4">
      <c r="A19" s="7">
        <v>17</v>
      </c>
      <c r="B19" s="11">
        <f t="shared" ca="1" si="7"/>
        <v>43999</v>
      </c>
      <c r="C19" s="12">
        <f t="shared" ca="1" si="0"/>
        <v>43999</v>
      </c>
      <c r="D19" s="12"/>
      <c r="E19" s="29">
        <v>0.39583333333333331</v>
      </c>
      <c r="F19" s="23"/>
      <c r="G19" s="29">
        <v>0.58333333333333337</v>
      </c>
      <c r="H19" s="15"/>
      <c r="I19" s="29">
        <v>0.63541666666666663</v>
      </c>
      <c r="J19" s="24"/>
      <c r="K19" s="29">
        <v>0.77083333333333337</v>
      </c>
      <c r="L19" s="9"/>
      <c r="M19" s="18">
        <f t="shared" ca="1" si="8"/>
        <v>0.3229166666666668</v>
      </c>
      <c r="N19" s="18">
        <f t="shared" ca="1" si="9"/>
        <v>0.3229166666666668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465</v>
      </c>
      <c r="U19" s="22">
        <f t="shared" ca="1" si="10"/>
        <v>465</v>
      </c>
      <c r="V19" s="22">
        <f t="shared" ca="1" si="10"/>
        <v>0</v>
      </c>
      <c r="W19" s="7">
        <f t="shared" ca="1" si="11"/>
        <v>4</v>
      </c>
      <c r="X19" s="19">
        <f t="shared" ca="1" si="3"/>
        <v>0.33333333333333331</v>
      </c>
      <c r="Y19" s="7">
        <f t="shared" ca="1" si="4"/>
        <v>0</v>
      </c>
      <c r="Z19" s="7">
        <f t="shared" ca="1" si="5"/>
        <v>0</v>
      </c>
      <c r="AA19" s="7">
        <f t="shared" ca="1" si="6"/>
        <v>6</v>
      </c>
    </row>
    <row r="20" spans="1:27" ht="15" thickBot="1" x14ac:dyDescent="0.4">
      <c r="A20" s="7">
        <v>18</v>
      </c>
      <c r="B20" s="11">
        <f t="shared" ca="1" si="7"/>
        <v>44000</v>
      </c>
      <c r="C20" s="12">
        <f t="shared" ca="1" si="0"/>
        <v>44000</v>
      </c>
      <c r="E20" s="29">
        <v>0.39583333333333331</v>
      </c>
      <c r="F20" s="23"/>
      <c r="G20" s="29">
        <v>0.58333333333333337</v>
      </c>
      <c r="H20" s="15"/>
      <c r="I20" s="29">
        <v>0.63541666666666663</v>
      </c>
      <c r="J20" s="24"/>
      <c r="K20" s="29">
        <v>0.77083333333333337</v>
      </c>
      <c r="L20" s="9"/>
      <c r="M20" s="18">
        <f t="shared" ca="1" si="8"/>
        <v>0.3229166666666668</v>
      </c>
      <c r="N20" s="18">
        <f t="shared" ca="1" si="9"/>
        <v>0.3229166666666668</v>
      </c>
      <c r="O20" s="19">
        <f t="shared" ca="1" si="1"/>
        <v>0</v>
      </c>
      <c r="P20" s="9"/>
      <c r="Q20" s="20"/>
      <c r="R20" s="21" t="s">
        <v>15</v>
      </c>
      <c r="T20" s="22">
        <f t="shared" ca="1" si="10"/>
        <v>465</v>
      </c>
      <c r="U20" s="22">
        <f t="shared" ca="1" si="10"/>
        <v>465</v>
      </c>
      <c r="V20" s="22">
        <f t="shared" ca="1" si="10"/>
        <v>0</v>
      </c>
      <c r="W20" s="7">
        <f t="shared" ca="1" si="11"/>
        <v>5</v>
      </c>
      <c r="X20" s="19">
        <f t="shared" ca="1" si="3"/>
        <v>0.33333333333333331</v>
      </c>
      <c r="Y20" s="7">
        <f t="shared" ca="1" si="4"/>
        <v>0</v>
      </c>
      <c r="Z20" s="7">
        <f t="shared" ca="1" si="5"/>
        <v>0</v>
      </c>
      <c r="AA20" s="7">
        <f t="shared" ca="1" si="6"/>
        <v>6</v>
      </c>
    </row>
    <row r="21" spans="1:27" ht="15" thickBot="1" x14ac:dyDescent="0.4">
      <c r="A21" s="7">
        <v>19</v>
      </c>
      <c r="B21" s="11">
        <f t="shared" ca="1" si="7"/>
        <v>44001</v>
      </c>
      <c r="C21" s="12">
        <f t="shared" ca="1" si="0"/>
        <v>44001</v>
      </c>
      <c r="D21" s="12"/>
      <c r="E21" s="29">
        <v>0.39583333333333331</v>
      </c>
      <c r="F21" s="23"/>
      <c r="G21" s="29">
        <v>0.5</v>
      </c>
      <c r="H21" s="15"/>
      <c r="I21" s="29">
        <v>0</v>
      </c>
      <c r="J21" s="24"/>
      <c r="K21" s="29">
        <v>0</v>
      </c>
      <c r="L21" s="9"/>
      <c r="M21" s="18">
        <f t="shared" ca="1" si="8"/>
        <v>0.10416666666666669</v>
      </c>
      <c r="N21" s="18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0.10416666666666669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150</v>
      </c>
      <c r="U21" s="22">
        <f t="shared" ca="1" si="10"/>
        <v>150</v>
      </c>
      <c r="V21" s="22">
        <f t="shared" ca="1" si="10"/>
        <v>0</v>
      </c>
      <c r="W21" s="7">
        <f t="shared" ca="1" si="11"/>
        <v>6</v>
      </c>
      <c r="X21" s="19">
        <f t="shared" ca="1" si="3"/>
        <v>0.25</v>
      </c>
      <c r="Y21" s="7">
        <f t="shared" ca="1" si="4"/>
        <v>0</v>
      </c>
      <c r="Z21" s="7">
        <f t="shared" ca="1" si="5"/>
        <v>0</v>
      </c>
      <c r="AA21" s="7">
        <f t="shared" ca="1" si="6"/>
        <v>6</v>
      </c>
    </row>
    <row r="22" spans="1:27" ht="15" thickBot="1" x14ac:dyDescent="0.4">
      <c r="A22" s="7">
        <v>20</v>
      </c>
      <c r="B22" s="11">
        <f t="shared" ca="1" si="7"/>
        <v>44002</v>
      </c>
      <c r="C22" s="12">
        <f t="shared" ca="1" si="0"/>
        <v>44002</v>
      </c>
      <c r="E22" s="29">
        <v>0.34375</v>
      </c>
      <c r="F22" s="23"/>
      <c r="G22" s="29">
        <v>0.5</v>
      </c>
      <c r="H22" s="15"/>
      <c r="I22" s="29">
        <v>0</v>
      </c>
      <c r="J22" s="24"/>
      <c r="K22" s="29">
        <v>0.52083333333333337</v>
      </c>
      <c r="L22" s="9"/>
      <c r="M22" s="18">
        <f t="shared" ca="1" si="8"/>
        <v>0</v>
      </c>
      <c r="N22" s="18">
        <f t="shared" ca="1" si="9"/>
        <v>0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0</v>
      </c>
      <c r="U22" s="22">
        <f t="shared" ca="1" si="10"/>
        <v>0</v>
      </c>
      <c r="V22" s="22">
        <f t="shared" ca="1" si="10"/>
        <v>0</v>
      </c>
      <c r="W22" s="7">
        <f t="shared" ca="1" si="11"/>
        <v>7</v>
      </c>
      <c r="X22" s="19">
        <f t="shared" ca="1" si="3"/>
        <v>0</v>
      </c>
      <c r="Y22" s="7">
        <f t="shared" ca="1" si="4"/>
        <v>0</v>
      </c>
      <c r="Z22" s="7">
        <f t="shared" ca="1" si="5"/>
        <v>1</v>
      </c>
      <c r="AA22" s="7">
        <f t="shared" ca="1" si="6"/>
        <v>6</v>
      </c>
    </row>
    <row r="23" spans="1:27" ht="15" thickBot="1" x14ac:dyDescent="0.4">
      <c r="A23" s="7">
        <v>21</v>
      </c>
      <c r="B23" s="11">
        <f t="shared" ca="1" si="7"/>
        <v>44003</v>
      </c>
      <c r="C23" s="12">
        <f t="shared" ca="1" si="0"/>
        <v>44003</v>
      </c>
      <c r="D23" s="12"/>
      <c r="E23" s="29">
        <v>0.39583333333333331</v>
      </c>
      <c r="F23" s="23"/>
      <c r="G23" s="29" t="s">
        <v>43</v>
      </c>
      <c r="H23" s="15"/>
      <c r="I23" s="29">
        <v>0</v>
      </c>
      <c r="J23" s="24"/>
      <c r="K23" s="29">
        <v>0</v>
      </c>
      <c r="L23" s="9"/>
      <c r="M23" s="18">
        <f t="shared" ca="1" si="8"/>
        <v>0</v>
      </c>
      <c r="N23" s="18">
        <f t="shared" ca="1" si="9"/>
        <v>0</v>
      </c>
      <c r="O23" s="19">
        <f t="shared" ca="1" si="1"/>
        <v>0</v>
      </c>
      <c r="P23" s="9"/>
      <c r="Q23" s="30"/>
      <c r="R23" s="21" t="s">
        <v>15</v>
      </c>
      <c r="T23" s="22">
        <f t="shared" ca="1" si="10"/>
        <v>0</v>
      </c>
      <c r="U23" s="22">
        <f t="shared" ca="1" si="10"/>
        <v>0</v>
      </c>
      <c r="V23" s="22">
        <f t="shared" ca="1" si="10"/>
        <v>0</v>
      </c>
      <c r="W23" s="7">
        <f t="shared" ca="1" si="11"/>
        <v>1</v>
      </c>
      <c r="X23" s="19">
        <f t="shared" ca="1" si="3"/>
        <v>0</v>
      </c>
      <c r="Y23" s="7">
        <f t="shared" ca="1" si="4"/>
        <v>0</v>
      </c>
      <c r="Z23" s="7">
        <f t="shared" ca="1" si="5"/>
        <v>1</v>
      </c>
      <c r="AA23" s="7">
        <f t="shared" ca="1" si="6"/>
        <v>6</v>
      </c>
    </row>
    <row r="24" spans="1:27" ht="15" thickBot="1" x14ac:dyDescent="0.4">
      <c r="A24" s="7">
        <v>22</v>
      </c>
      <c r="B24" s="11">
        <f t="shared" ca="1" si="7"/>
        <v>44004</v>
      </c>
      <c r="C24" s="12">
        <f t="shared" ca="1" si="0"/>
        <v>44004</v>
      </c>
      <c r="E24" s="29">
        <v>0.39583333333333331</v>
      </c>
      <c r="F24" s="23"/>
      <c r="G24" s="29">
        <v>0.58333333333333337</v>
      </c>
      <c r="H24" s="15"/>
      <c r="I24" s="29">
        <v>0.63541666666666663</v>
      </c>
      <c r="J24" s="24"/>
      <c r="K24" s="29">
        <v>0.77083333333333337</v>
      </c>
      <c r="L24" s="9"/>
      <c r="M24" s="18">
        <f t="shared" ca="1" si="8"/>
        <v>0.3229166666666668</v>
      </c>
      <c r="N24" s="18">
        <f t="shared" ca="1" si="9"/>
        <v>0.3229166666666668</v>
      </c>
      <c r="O24" s="19">
        <f t="shared" ca="1" si="1"/>
        <v>0</v>
      </c>
      <c r="P24" s="9"/>
      <c r="Q24" s="30"/>
      <c r="R24" s="21" t="s">
        <v>15</v>
      </c>
      <c r="T24" s="22">
        <f t="shared" ca="1" si="10"/>
        <v>465</v>
      </c>
      <c r="U24" s="22">
        <f t="shared" ca="1" si="10"/>
        <v>465</v>
      </c>
      <c r="V24" s="22">
        <f t="shared" ca="1" si="10"/>
        <v>0</v>
      </c>
      <c r="W24" s="7">
        <f t="shared" ca="1" si="11"/>
        <v>2</v>
      </c>
      <c r="X24" s="19">
        <f t="shared" ca="1" si="3"/>
        <v>0.33333333333333331</v>
      </c>
      <c r="Y24" s="7">
        <f t="shared" ca="1" si="4"/>
        <v>0</v>
      </c>
      <c r="Z24" s="7">
        <f t="shared" ca="1" si="5"/>
        <v>0</v>
      </c>
      <c r="AA24" s="7">
        <f t="shared" ca="1" si="6"/>
        <v>6</v>
      </c>
    </row>
    <row r="25" spans="1:27" ht="15" thickBot="1" x14ac:dyDescent="0.4">
      <c r="A25" s="7">
        <v>23</v>
      </c>
      <c r="B25" s="11">
        <f t="shared" ca="1" si="7"/>
        <v>44005</v>
      </c>
      <c r="C25" s="12">
        <f t="shared" ca="1" si="0"/>
        <v>44005</v>
      </c>
      <c r="D25" s="12"/>
      <c r="E25" s="29">
        <v>0.39583333333333331</v>
      </c>
      <c r="F25" s="23"/>
      <c r="G25" s="29">
        <v>0.58333333333333337</v>
      </c>
      <c r="H25" s="23"/>
      <c r="I25" s="29">
        <v>0.63541666666666663</v>
      </c>
      <c r="J25" s="24"/>
      <c r="K25" s="29">
        <v>0.77083333333333337</v>
      </c>
      <c r="L25" s="9"/>
      <c r="M25" s="18">
        <f t="shared" ca="1" si="8"/>
        <v>0.3229166666666668</v>
      </c>
      <c r="N25" s="18">
        <f t="shared" ca="1" si="9"/>
        <v>0.3229166666666668</v>
      </c>
      <c r="O25" s="19">
        <f t="shared" ca="1" si="1"/>
        <v>0</v>
      </c>
      <c r="P25" s="9"/>
      <c r="Q25" s="30"/>
      <c r="R25" s="21" t="s">
        <v>15</v>
      </c>
      <c r="T25" s="22">
        <f t="shared" ca="1" si="10"/>
        <v>465</v>
      </c>
      <c r="U25" s="22">
        <f t="shared" ca="1" si="10"/>
        <v>465</v>
      </c>
      <c r="V25" s="22">
        <f t="shared" ca="1" si="10"/>
        <v>0</v>
      </c>
      <c r="W25" s="7">
        <f t="shared" ca="1" si="11"/>
        <v>3</v>
      </c>
      <c r="X25" s="19">
        <f t="shared" ca="1" si="3"/>
        <v>0.33333333333333331</v>
      </c>
      <c r="Y25" s="7">
        <f t="shared" ca="1" si="4"/>
        <v>0</v>
      </c>
      <c r="Z25" s="7">
        <f t="shared" ca="1" si="5"/>
        <v>0</v>
      </c>
      <c r="AA25" s="7">
        <f t="shared" ca="1" si="6"/>
        <v>6</v>
      </c>
    </row>
    <row r="26" spans="1:27" ht="15" thickBot="1" x14ac:dyDescent="0.4">
      <c r="A26" s="7">
        <v>24</v>
      </c>
      <c r="B26" s="11">
        <f t="shared" ca="1" si="7"/>
        <v>44006</v>
      </c>
      <c r="C26" s="12">
        <f t="shared" ca="1" si="0"/>
        <v>44006</v>
      </c>
      <c r="E26" s="29">
        <v>0.39583333333333331</v>
      </c>
      <c r="F26" s="23"/>
      <c r="G26" s="29">
        <v>0.58333333333333337</v>
      </c>
      <c r="H26" s="23"/>
      <c r="I26" s="29">
        <v>0.63541666666666663</v>
      </c>
      <c r="J26" s="24"/>
      <c r="K26" s="29">
        <v>0.77083333333333337</v>
      </c>
      <c r="L26" s="9"/>
      <c r="M26" s="18">
        <f t="shared" ca="1" si="8"/>
        <v>0.3229166666666668</v>
      </c>
      <c r="N26" s="18">
        <f t="shared" ca="1" si="9"/>
        <v>0.3229166666666668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465</v>
      </c>
      <c r="U26" s="22">
        <f t="shared" ca="1" si="10"/>
        <v>465</v>
      </c>
      <c r="V26" s="22">
        <f t="shared" ca="1" si="10"/>
        <v>0</v>
      </c>
      <c r="W26" s="7">
        <f t="shared" ca="1" si="11"/>
        <v>4</v>
      </c>
      <c r="X26" s="19">
        <f t="shared" ca="1" si="3"/>
        <v>0.33333333333333331</v>
      </c>
      <c r="Y26" s="7">
        <f t="shared" ca="1" si="4"/>
        <v>0</v>
      </c>
      <c r="Z26" s="7">
        <f t="shared" ca="1" si="5"/>
        <v>0</v>
      </c>
      <c r="AA26" s="7">
        <f t="shared" ca="1" si="6"/>
        <v>6</v>
      </c>
    </row>
    <row r="27" spans="1:27" ht="15" thickBot="1" x14ac:dyDescent="0.4">
      <c r="A27" s="7">
        <v>25</v>
      </c>
      <c r="B27" s="11">
        <f t="shared" ca="1" si="7"/>
        <v>44007</v>
      </c>
      <c r="C27" s="12">
        <f t="shared" ca="1" si="0"/>
        <v>44007</v>
      </c>
      <c r="D27" s="12"/>
      <c r="E27" s="29">
        <v>0.39583333333333331</v>
      </c>
      <c r="F27" s="23"/>
      <c r="G27" s="29">
        <v>0.58333333333333337</v>
      </c>
      <c r="H27" s="15"/>
      <c r="I27" s="29">
        <v>0.63541666666666663</v>
      </c>
      <c r="J27" s="24"/>
      <c r="K27" s="29">
        <v>0.77083333333333337</v>
      </c>
      <c r="L27" s="9"/>
      <c r="M27" s="18">
        <f t="shared" ca="1" si="8"/>
        <v>0.3229166666666668</v>
      </c>
      <c r="N27" s="18">
        <f t="shared" ca="1" si="9"/>
        <v>0.3229166666666668</v>
      </c>
      <c r="O27" s="19">
        <f t="shared" ca="1" si="1"/>
        <v>0</v>
      </c>
      <c r="P27" s="9"/>
      <c r="Q27" s="20"/>
      <c r="R27" s="21" t="s">
        <v>15</v>
      </c>
      <c r="T27" s="22">
        <f t="shared" ca="1" si="10"/>
        <v>465</v>
      </c>
      <c r="U27" s="22">
        <f t="shared" ca="1" si="10"/>
        <v>465</v>
      </c>
      <c r="V27" s="22">
        <f t="shared" ca="1" si="10"/>
        <v>0</v>
      </c>
      <c r="W27" s="7">
        <f t="shared" ca="1" si="11"/>
        <v>5</v>
      </c>
      <c r="X27" s="19">
        <f t="shared" ca="1" si="3"/>
        <v>0.33333333333333331</v>
      </c>
      <c r="Y27" s="7">
        <f t="shared" ca="1" si="4"/>
        <v>0</v>
      </c>
      <c r="Z27" s="7">
        <f t="shared" ca="1" si="5"/>
        <v>0</v>
      </c>
      <c r="AA27" s="7">
        <f t="shared" ca="1" si="6"/>
        <v>6</v>
      </c>
    </row>
    <row r="28" spans="1:27" ht="15" thickBot="1" x14ac:dyDescent="0.4">
      <c r="A28" s="7">
        <v>26</v>
      </c>
      <c r="B28" s="11">
        <f t="shared" ca="1" si="7"/>
        <v>44008</v>
      </c>
      <c r="C28" s="12">
        <f t="shared" ca="1" si="0"/>
        <v>44008</v>
      </c>
      <c r="E28" s="16" t="s">
        <v>3</v>
      </c>
      <c r="F28" s="23"/>
      <c r="G28" s="16" t="s">
        <v>4</v>
      </c>
      <c r="H28" s="15"/>
      <c r="I28" s="16" t="s">
        <v>33</v>
      </c>
      <c r="J28" s="24"/>
      <c r="K28" s="29" t="s">
        <v>37</v>
      </c>
      <c r="L28" s="9"/>
      <c r="M28" s="18">
        <f t="shared" ca="1" si="8"/>
        <v>0.36458333333333337</v>
      </c>
      <c r="N28" s="18">
        <f t="shared" ca="1" si="9"/>
        <v>0.25</v>
      </c>
      <c r="O28" s="19">
        <f t="shared" ca="1" si="1"/>
        <v>0.11458333333333337</v>
      </c>
      <c r="P28" s="9"/>
      <c r="Q28" s="20"/>
      <c r="R28" s="21" t="s">
        <v>15</v>
      </c>
      <c r="T28" s="22">
        <f t="shared" ca="1" si="10"/>
        <v>525</v>
      </c>
      <c r="U28" s="22">
        <f t="shared" ca="1" si="10"/>
        <v>360</v>
      </c>
      <c r="V28" s="22">
        <f t="shared" ca="1" si="10"/>
        <v>165</v>
      </c>
      <c r="W28" s="7">
        <f t="shared" ca="1" si="11"/>
        <v>6</v>
      </c>
      <c r="X28" s="19">
        <f t="shared" ca="1" si="3"/>
        <v>0.25</v>
      </c>
      <c r="Y28" s="7">
        <f t="shared" ca="1" si="4"/>
        <v>0</v>
      </c>
      <c r="Z28" s="7">
        <f t="shared" ca="1" si="5"/>
        <v>0</v>
      </c>
      <c r="AA28" s="7">
        <f t="shared" ca="1" si="6"/>
        <v>6</v>
      </c>
    </row>
    <row r="29" spans="1:27" ht="15" thickBot="1" x14ac:dyDescent="0.4">
      <c r="A29" s="7">
        <v>27</v>
      </c>
      <c r="B29" s="11">
        <f t="shared" ca="1" si="7"/>
        <v>44009</v>
      </c>
      <c r="C29" s="12">
        <f t="shared" ca="1" si="0"/>
        <v>44009</v>
      </c>
      <c r="D29" s="12"/>
      <c r="E29" s="29">
        <v>0.34375</v>
      </c>
      <c r="F29" s="23"/>
      <c r="G29" s="29">
        <v>0.5</v>
      </c>
      <c r="H29" s="15"/>
      <c r="I29" s="29">
        <v>0</v>
      </c>
      <c r="J29" s="24"/>
      <c r="K29" s="29">
        <v>0.52083333333333337</v>
      </c>
      <c r="L29" s="9"/>
      <c r="M29" s="18">
        <f t="shared" ca="1" si="8"/>
        <v>0</v>
      </c>
      <c r="N29" s="18">
        <f t="shared" ca="1" si="9"/>
        <v>0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0</v>
      </c>
      <c r="U29" s="22">
        <f t="shared" ca="1" si="10"/>
        <v>0</v>
      </c>
      <c r="V29" s="22">
        <f t="shared" ca="1" si="10"/>
        <v>0</v>
      </c>
      <c r="W29" s="7">
        <f t="shared" ca="1" si="11"/>
        <v>7</v>
      </c>
      <c r="X29" s="19">
        <f t="shared" ca="1" si="3"/>
        <v>0</v>
      </c>
      <c r="Y29" s="7">
        <f t="shared" ca="1" si="4"/>
        <v>0</v>
      </c>
      <c r="Z29" s="7">
        <f t="shared" ca="1" si="5"/>
        <v>1</v>
      </c>
      <c r="AA29" s="7">
        <f t="shared" ca="1" si="6"/>
        <v>6</v>
      </c>
    </row>
    <row r="30" spans="1:27" ht="15" thickBot="1" x14ac:dyDescent="0.4">
      <c r="A30" s="7">
        <v>28</v>
      </c>
      <c r="B30" s="11">
        <f t="shared" ca="1" si="7"/>
        <v>44010</v>
      </c>
      <c r="C30" s="12">
        <f t="shared" ca="1" si="0"/>
        <v>44010</v>
      </c>
      <c r="E30" s="29">
        <v>0.39583333333333331</v>
      </c>
      <c r="F30" s="23"/>
      <c r="G30" s="29">
        <v>0.73958333333333337</v>
      </c>
      <c r="H30" s="15"/>
      <c r="I30" s="29">
        <v>0</v>
      </c>
      <c r="J30" s="24"/>
      <c r="K30" s="29">
        <v>0</v>
      </c>
      <c r="L30" s="9"/>
      <c r="M30" s="18">
        <f t="shared" ca="1" si="8"/>
        <v>0</v>
      </c>
      <c r="N30" s="18">
        <f t="shared" ca="1" si="9"/>
        <v>0</v>
      </c>
      <c r="O30" s="19">
        <f t="shared" ca="1" si="1"/>
        <v>0</v>
      </c>
      <c r="P30" s="9"/>
      <c r="Q30" s="30"/>
      <c r="R30" s="21" t="s">
        <v>15</v>
      </c>
      <c r="T30" s="22">
        <f t="shared" ca="1" si="10"/>
        <v>0</v>
      </c>
      <c r="U30" s="22">
        <f t="shared" ca="1" si="10"/>
        <v>0</v>
      </c>
      <c r="V30" s="22">
        <f t="shared" ca="1" si="10"/>
        <v>0</v>
      </c>
      <c r="W30" s="7">
        <f t="shared" ca="1" si="11"/>
        <v>1</v>
      </c>
      <c r="X30" s="19">
        <f t="shared" ca="1" si="3"/>
        <v>0</v>
      </c>
      <c r="Y30" s="7">
        <f t="shared" ca="1" si="4"/>
        <v>0</v>
      </c>
      <c r="Z30" s="7">
        <f t="shared" ca="1" si="5"/>
        <v>1</v>
      </c>
      <c r="AA30" s="7">
        <f t="shared" ca="1" si="6"/>
        <v>6</v>
      </c>
    </row>
    <row r="31" spans="1:27" ht="15" thickBot="1" x14ac:dyDescent="0.4">
      <c r="A31" s="7">
        <v>29</v>
      </c>
      <c r="B31" s="11">
        <f t="shared" ca="1" si="7"/>
        <v>44011</v>
      </c>
      <c r="C31" s="12">
        <f t="shared" ca="1" si="0"/>
        <v>44011</v>
      </c>
      <c r="D31" s="12"/>
      <c r="E31" s="29">
        <v>0.39583333333333331</v>
      </c>
      <c r="F31" s="23"/>
      <c r="G31" s="29">
        <v>0.58333333333333337</v>
      </c>
      <c r="H31" s="15"/>
      <c r="I31" s="29">
        <v>0.63541666666666663</v>
      </c>
      <c r="J31" s="24"/>
      <c r="K31" s="29">
        <v>0.77083333333333337</v>
      </c>
      <c r="L31" s="9"/>
      <c r="M31" s="18">
        <f t="shared" ca="1" si="8"/>
        <v>0.3229166666666668</v>
      </c>
      <c r="N31" s="18">
        <f t="shared" ca="1" si="9"/>
        <v>0.3229166666666668</v>
      </c>
      <c r="O31" s="19">
        <f t="shared" ca="1" si="1"/>
        <v>0</v>
      </c>
      <c r="P31" s="9"/>
      <c r="Q31" s="30"/>
      <c r="R31" s="21" t="s">
        <v>15</v>
      </c>
      <c r="T31" s="22">
        <f t="shared" ca="1" si="10"/>
        <v>465</v>
      </c>
      <c r="U31" s="22">
        <f t="shared" ca="1" si="10"/>
        <v>465</v>
      </c>
      <c r="V31" s="22">
        <f t="shared" ca="1" si="10"/>
        <v>0</v>
      </c>
      <c r="W31" s="7">
        <f t="shared" ca="1" si="11"/>
        <v>2</v>
      </c>
      <c r="X31" s="19">
        <f t="shared" ca="1" si="3"/>
        <v>0.33333333333333331</v>
      </c>
      <c r="Y31" s="7">
        <f t="shared" ca="1" si="4"/>
        <v>0</v>
      </c>
      <c r="Z31" s="7">
        <f t="shared" ca="1" si="5"/>
        <v>0</v>
      </c>
      <c r="AA31" s="7">
        <f t="shared" ca="1" si="6"/>
        <v>6</v>
      </c>
    </row>
    <row r="32" spans="1:27" ht="15" thickBot="1" x14ac:dyDescent="0.4">
      <c r="A32" s="7">
        <v>30</v>
      </c>
      <c r="B32" s="11">
        <f t="shared" ca="1" si="7"/>
        <v>44012</v>
      </c>
      <c r="C32" s="12">
        <f t="shared" ca="1" si="0"/>
        <v>44012</v>
      </c>
      <c r="E32" s="29">
        <v>0.39583333333333331</v>
      </c>
      <c r="F32" s="23"/>
      <c r="G32" s="29">
        <v>0.58333333333333337</v>
      </c>
      <c r="H32" s="15"/>
      <c r="I32" s="29">
        <v>0.63541666666666663</v>
      </c>
      <c r="J32" s="24"/>
      <c r="K32" s="29">
        <v>0.77083333333333337</v>
      </c>
      <c r="L32" s="9"/>
      <c r="M32" s="18">
        <f t="shared" ca="1" si="8"/>
        <v>0.3229166666666668</v>
      </c>
      <c r="N32" s="18">
        <f t="shared" ca="1" si="9"/>
        <v>0.3229166666666668</v>
      </c>
      <c r="O32" s="19">
        <f t="shared" ca="1" si="1"/>
        <v>0</v>
      </c>
      <c r="P32" s="9"/>
      <c r="Q32" s="30"/>
      <c r="R32" s="21" t="s">
        <v>15</v>
      </c>
      <c r="T32" s="22">
        <f t="shared" ca="1" si="10"/>
        <v>465</v>
      </c>
      <c r="U32" s="22">
        <f t="shared" ca="1" si="10"/>
        <v>465</v>
      </c>
      <c r="V32" s="22">
        <f t="shared" ca="1" si="10"/>
        <v>0</v>
      </c>
      <c r="W32" s="7">
        <f t="shared" ca="1" si="11"/>
        <v>3</v>
      </c>
      <c r="X32" s="19">
        <f t="shared" ca="1" si="3"/>
        <v>0.33333333333333331</v>
      </c>
      <c r="Y32" s="7">
        <f t="shared" ca="1" si="4"/>
        <v>0</v>
      </c>
      <c r="Z32" s="7">
        <f t="shared" ca="1" si="5"/>
        <v>0</v>
      </c>
      <c r="AA32" s="7">
        <f t="shared" ca="1" si="6"/>
        <v>6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44013</v>
      </c>
      <c r="E33" s="29">
        <v>0.375</v>
      </c>
      <c r="F33" s="23"/>
      <c r="G33" s="29">
        <v>0.64583333333333337</v>
      </c>
      <c r="H33" s="15"/>
      <c r="I33" s="29">
        <v>0.625</v>
      </c>
      <c r="J33" s="24"/>
      <c r="K33" s="29">
        <v>0.77083333333333337</v>
      </c>
      <c r="L33" s="9"/>
      <c r="M33" s="18">
        <f t="shared" ca="1" si="8"/>
        <v>0</v>
      </c>
      <c r="N33" s="18">
        <f t="shared" ca="1" si="9"/>
        <v>0</v>
      </c>
      <c r="O33" s="19">
        <f t="shared" ca="1" si="1"/>
        <v>0</v>
      </c>
      <c r="P33" s="9"/>
      <c r="Q33" s="20"/>
      <c r="R33" s="21" t="s">
        <v>15</v>
      </c>
      <c r="T33" s="22">
        <f t="shared" ca="1" si="10"/>
        <v>0</v>
      </c>
      <c r="U33" s="22">
        <f t="shared" ca="1" si="10"/>
        <v>0</v>
      </c>
      <c r="V33" s="22">
        <f t="shared" ca="1" si="10"/>
        <v>0</v>
      </c>
      <c r="W33" s="7">
        <f t="shared" ca="1" si="11"/>
        <v>4</v>
      </c>
      <c r="X33" s="19">
        <f t="shared" ca="1" si="3"/>
        <v>0.33333333333333331</v>
      </c>
      <c r="Y33" s="7">
        <f t="shared" ca="1" si="4"/>
        <v>0</v>
      </c>
      <c r="Z33" s="7">
        <f t="shared" ca="1" si="5"/>
        <v>0</v>
      </c>
      <c r="AA33" s="7">
        <f t="shared" ca="1" si="6"/>
        <v>7</v>
      </c>
    </row>
    <row r="34" spans="1:27" ht="15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167.75</v>
      </c>
      <c r="N35" s="27">
        <f ca="1">SUM(U3:U33)/60</f>
        <v>160</v>
      </c>
      <c r="O35" s="27">
        <f ca="1">SUM(V3:V33)/60</f>
        <v>7.75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aHQDdQYNL2ap+1o+r8xj4Lo3R4IYN5qRcnyGj9gAU1s/AJ6MLu5ysAwirAihefiDgVAS+hLZUjFfkXq3Npa/1w==" saltValue="bSqdOwJMhEYwz/vs8vep3Q==" spinCount="100000" sheet="1" objects="1" scenarios="1"/>
  <mergeCells count="1">
    <mergeCell ref="B1:C1"/>
  </mergeCells>
  <conditionalFormatting sqref="G3:G33 E3:E33">
    <cfRule type="expression" dxfId="30" priority="5">
      <formula>VALUE(SUBSTITUTE($G3,":",""))&lt;VALUE(SUBSTITUTE($E3,":",""))</formula>
    </cfRule>
  </conditionalFormatting>
  <conditionalFormatting sqref="I3:I33 K3:K33">
    <cfRule type="expression" dxfId="29" priority="9">
      <formula>($K3-$I3)&lt;0</formula>
    </cfRule>
  </conditionalFormatting>
  <conditionalFormatting sqref="O3:O33">
    <cfRule type="cellIs" dxfId="28" priority="8" operator="greaterThan">
      <formula>0.1</formula>
    </cfRule>
    <cfRule type="expression" dxfId="27" priority="15">
      <formula>$R3="Fecha cerrada"</formula>
    </cfRule>
  </conditionalFormatting>
  <conditionalFormatting sqref="N3:N33">
    <cfRule type="expression" dxfId="26" priority="14">
      <formula>VALUE(SUBSTITUTE($G3,":",""))&lt;VALUE(SUBSTITUTE($E3,":",""))</formula>
    </cfRule>
  </conditionalFormatting>
  <conditionalFormatting sqref="N3:N33">
    <cfRule type="expression" dxfId="25" priority="13">
      <formula>$R3="Fecha cerrada"</formula>
    </cfRule>
  </conditionalFormatting>
  <conditionalFormatting sqref="X3:X33">
    <cfRule type="expression" dxfId="24" priority="12">
      <formula>VALUE(SUBSTITUTE($G3,":",""))&lt;VALUE(SUBSTITUTE($E3,":",""))</formula>
    </cfRule>
  </conditionalFormatting>
  <conditionalFormatting sqref="X3:X33">
    <cfRule type="expression" dxfId="23" priority="11">
      <formula>$R3="Fecha cerrada"</formula>
    </cfRule>
  </conditionalFormatting>
  <conditionalFormatting sqref="Q3:R33 N3:O33 E3:K33">
    <cfRule type="expression" dxfId="22" priority="1">
      <formula>OR($W3=1,$W3=7,$AA3&lt;&gt;_xlfn.SHEET($A$1),,IFERROR(VLOOKUP($C3,DiasVacaciones,1,FALSE+$O$14:$Q$14),0)&lt;&gt;0)</formula>
    </cfRule>
  </conditionalFormatting>
  <conditionalFormatting sqref="R3:R33">
    <cfRule type="cellIs" dxfId="21" priority="6" operator="equal">
      <formula>"Confirmar Fecha"</formula>
    </cfRule>
    <cfRule type="cellIs" dxfId="20" priority="7" operator="equal">
      <formula>"Confirmada"</formula>
    </cfRule>
  </conditionalFormatting>
  <conditionalFormatting sqref="M3:M33">
    <cfRule type="expression" dxfId="19" priority="4">
      <formula>VALUE(SUBSTITUTE($G3,":",""))&lt;VALUE(SUBSTITUTE($E3,":",""))</formula>
    </cfRule>
  </conditionalFormatting>
  <conditionalFormatting sqref="M3:M33">
    <cfRule type="expression" dxfId="18" priority="3">
      <formula>$R3="Fecha cerrada"</formula>
    </cfRule>
  </conditionalFormatting>
  <conditionalFormatting sqref="E3:E33 G3:G33 I3:I33 K3:K33">
    <cfRule type="expression" dxfId="17" priority="10">
      <formula>$R3="Confirmada"</formula>
    </cfRule>
    <cfRule type="expression" dxfId="16" priority="16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G3:G33 K3:K33 I3:I33 E3:E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A39"/>
  <sheetViews>
    <sheetView showGridLines="0" workbookViewId="0">
      <selection activeCell="K33" sqref="K3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customWidth="1"/>
    <col min="20" max="20" width="6.26953125" style="7" hidden="1" customWidth="1"/>
    <col min="21" max="21" width="7.90625" style="7" hidden="1" customWidth="1"/>
    <col min="22" max="22" width="7.36328125" style="7" hidden="1" customWidth="1"/>
    <col min="23" max="24" width="10.90625" style="7" hidden="1" customWidth="1"/>
    <col min="25" max="25" width="11.1796875" style="7" hidden="1" customWidth="1"/>
    <col min="26" max="27" width="0" style="7" hidden="1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44013</v>
      </c>
      <c r="C3" s="12">
        <f t="shared" ref="C3:C33" ca="1" si="0">DATE(Anualidad,_xlfn.SHEET(B1),A3)</f>
        <v>44013</v>
      </c>
      <c r="D3" s="12"/>
      <c r="E3" s="13">
        <v>0.82291666666666663</v>
      </c>
      <c r="F3" s="14"/>
      <c r="G3" s="13" t="s">
        <v>39</v>
      </c>
      <c r="H3" s="15"/>
      <c r="I3" s="29" t="s">
        <v>38</v>
      </c>
      <c r="J3" s="17"/>
      <c r="K3" s="16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0.17708333333333348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0.17708333333333348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8</v>
      </c>
      <c r="T3" s="22">
        <f ca="1">MINUTE(M3)+(HOUR(M3)*60)</f>
        <v>255</v>
      </c>
      <c r="U3" s="22">
        <f t="shared" ref="U3:V18" ca="1" si="2">MINUTE(N3)+(HOUR(N3)*60)</f>
        <v>255</v>
      </c>
      <c r="V3" s="22">
        <f t="shared" ca="1" si="2"/>
        <v>0</v>
      </c>
      <c r="W3" s="7">
        <f ca="1">WEEKDAY(C3)</f>
        <v>4</v>
      </c>
      <c r="X3" s="19">
        <f t="shared" ref="X3:X33" ca="1" si="3">IF(AND(W3&lt;&gt;7,W3&lt;&gt;1),IF(W3=DiaSemanaIntensiva,HorasIntensiva,HorasOrdinarias),0)</f>
        <v>0.33333333333333331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0</v>
      </c>
      <c r="AA3" s="7">
        <f t="shared" ref="AA3:AA33" ca="1" si="6">MONTH(C3)</f>
        <v>7</v>
      </c>
    </row>
    <row r="4" spans="1:27" ht="15" thickBot="1" x14ac:dyDescent="0.4">
      <c r="A4" s="7">
        <v>2</v>
      </c>
      <c r="B4" s="11">
        <f t="shared" ref="B4:B32" ca="1" si="7">C4</f>
        <v>44014</v>
      </c>
      <c r="C4" s="12">
        <f t="shared" ca="1" si="0"/>
        <v>44014</v>
      </c>
      <c r="E4" s="29">
        <v>0.41666666666666669</v>
      </c>
      <c r="F4" s="23"/>
      <c r="G4" s="29">
        <v>0.71875</v>
      </c>
      <c r="H4" s="15"/>
      <c r="I4" s="29">
        <v>0.67708333333333337</v>
      </c>
      <c r="J4" s="24"/>
      <c r="K4" s="29">
        <v>0.79166666666666663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0.41666666666666657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0.33333333333333331</v>
      </c>
      <c r="O4" s="19">
        <f t="shared" ca="1" si="1"/>
        <v>8.3333333333333259E-2</v>
      </c>
      <c r="P4" s="9"/>
      <c r="Q4" s="30"/>
      <c r="R4" s="21" t="s">
        <v>8</v>
      </c>
      <c r="T4" s="22">
        <f t="shared" ref="T4:V33" ca="1" si="10">MINUTE(M4)+(HOUR(M4)*60)</f>
        <v>600</v>
      </c>
      <c r="U4" s="22">
        <f t="shared" ca="1" si="2"/>
        <v>480</v>
      </c>
      <c r="V4" s="22">
        <f t="shared" ca="1" si="2"/>
        <v>120</v>
      </c>
      <c r="W4" s="7">
        <f t="shared" ref="W4:W33" ca="1" si="11">WEEKDAY(C4)</f>
        <v>5</v>
      </c>
      <c r="X4" s="19">
        <f t="shared" ca="1" si="3"/>
        <v>0.33333333333333331</v>
      </c>
      <c r="Y4" s="7">
        <f t="shared" ca="1" si="4"/>
        <v>0</v>
      </c>
      <c r="Z4" s="7">
        <f t="shared" ca="1" si="5"/>
        <v>0</v>
      </c>
      <c r="AA4" s="7">
        <f t="shared" ca="1" si="6"/>
        <v>7</v>
      </c>
    </row>
    <row r="5" spans="1:27" ht="15" thickBot="1" x14ac:dyDescent="0.4">
      <c r="A5" s="7">
        <v>3</v>
      </c>
      <c r="B5" s="11">
        <f t="shared" ca="1" si="7"/>
        <v>44015</v>
      </c>
      <c r="C5" s="12">
        <f t="shared" ca="1" si="0"/>
        <v>44015</v>
      </c>
      <c r="D5" s="12"/>
      <c r="E5" s="29">
        <v>0.39583333333333331</v>
      </c>
      <c r="F5" s="23"/>
      <c r="G5" s="29">
        <v>0.5</v>
      </c>
      <c r="H5" s="15"/>
      <c r="I5" s="29">
        <v>0</v>
      </c>
      <c r="J5" s="24"/>
      <c r="K5" s="29">
        <v>0</v>
      </c>
      <c r="L5" s="9"/>
      <c r="M5" s="18">
        <f t="shared" ca="1" si="8"/>
        <v>0.10416666666666669</v>
      </c>
      <c r="N5" s="18">
        <f t="shared" ca="1" si="9"/>
        <v>0.10416666666666669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150</v>
      </c>
      <c r="U5" s="22">
        <f t="shared" ca="1" si="2"/>
        <v>150</v>
      </c>
      <c r="V5" s="22">
        <f t="shared" ca="1" si="2"/>
        <v>0</v>
      </c>
      <c r="W5" s="7">
        <f t="shared" ca="1" si="11"/>
        <v>6</v>
      </c>
      <c r="X5" s="19">
        <f t="shared" ca="1" si="3"/>
        <v>0.25</v>
      </c>
      <c r="Y5" s="7">
        <f t="shared" ca="1" si="4"/>
        <v>0</v>
      </c>
      <c r="Z5" s="7">
        <f t="shared" ca="1" si="5"/>
        <v>0</v>
      </c>
      <c r="AA5" s="7">
        <f t="shared" ca="1" si="6"/>
        <v>7</v>
      </c>
    </row>
    <row r="6" spans="1:27" ht="15" thickBot="1" x14ac:dyDescent="0.4">
      <c r="A6" s="7">
        <v>4</v>
      </c>
      <c r="B6" s="11">
        <f t="shared" ca="1" si="7"/>
        <v>44016</v>
      </c>
      <c r="C6" s="12">
        <f t="shared" ca="1" si="0"/>
        <v>44016</v>
      </c>
      <c r="E6" s="16" t="s">
        <v>3</v>
      </c>
      <c r="F6" s="23"/>
      <c r="G6" s="29">
        <v>0.5</v>
      </c>
      <c r="H6" s="15"/>
      <c r="I6" s="16" t="s">
        <v>5</v>
      </c>
      <c r="J6" s="24"/>
      <c r="K6" s="16" t="s">
        <v>6</v>
      </c>
      <c r="L6" s="9"/>
      <c r="M6" s="18">
        <f t="shared" ca="1" si="8"/>
        <v>0</v>
      </c>
      <c r="N6" s="18">
        <f t="shared" ca="1" si="9"/>
        <v>0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0</v>
      </c>
      <c r="U6" s="22">
        <f t="shared" ca="1" si="2"/>
        <v>0</v>
      </c>
      <c r="V6" s="22">
        <f t="shared" ca="1" si="2"/>
        <v>0</v>
      </c>
      <c r="W6" s="7">
        <f t="shared" ca="1" si="11"/>
        <v>7</v>
      </c>
      <c r="X6" s="19">
        <f t="shared" ca="1" si="3"/>
        <v>0</v>
      </c>
      <c r="Y6" s="7">
        <f t="shared" ca="1" si="4"/>
        <v>0</v>
      </c>
      <c r="Z6" s="7">
        <f t="shared" ca="1" si="5"/>
        <v>1</v>
      </c>
      <c r="AA6" s="7">
        <f t="shared" ca="1" si="6"/>
        <v>7</v>
      </c>
    </row>
    <row r="7" spans="1:27" ht="15" thickBot="1" x14ac:dyDescent="0.4">
      <c r="A7" s="7">
        <v>5</v>
      </c>
      <c r="B7" s="11">
        <f t="shared" ca="1" si="7"/>
        <v>44017</v>
      </c>
      <c r="C7" s="12">
        <f t="shared" ca="1" si="0"/>
        <v>44017</v>
      </c>
      <c r="D7" s="12"/>
      <c r="E7" s="16" t="s">
        <v>3</v>
      </c>
      <c r="F7" s="23"/>
      <c r="G7" s="16" t="s">
        <v>4</v>
      </c>
      <c r="H7" s="15"/>
      <c r="I7" s="16" t="s">
        <v>5</v>
      </c>
      <c r="J7" s="24"/>
      <c r="K7" s="16" t="s">
        <v>6</v>
      </c>
      <c r="L7" s="9"/>
      <c r="M7" s="18">
        <f t="shared" ca="1" si="8"/>
        <v>0</v>
      </c>
      <c r="N7" s="18">
        <f t="shared" ca="1" si="9"/>
        <v>0</v>
      </c>
      <c r="O7" s="19">
        <f t="shared" ca="1" si="1"/>
        <v>0</v>
      </c>
      <c r="P7" s="9"/>
      <c r="Q7" s="20"/>
      <c r="R7" s="21" t="s">
        <v>8</v>
      </c>
      <c r="T7" s="22">
        <f t="shared" ca="1" si="10"/>
        <v>0</v>
      </c>
      <c r="U7" s="22">
        <f t="shared" ca="1" si="2"/>
        <v>0</v>
      </c>
      <c r="V7" s="22">
        <f t="shared" ca="1" si="2"/>
        <v>0</v>
      </c>
      <c r="W7" s="7">
        <f t="shared" ca="1" si="11"/>
        <v>1</v>
      </c>
      <c r="X7" s="19">
        <f t="shared" ca="1" si="3"/>
        <v>0</v>
      </c>
      <c r="Y7" s="7">
        <f t="shared" ca="1" si="4"/>
        <v>0</v>
      </c>
      <c r="Z7" s="7">
        <f t="shared" ca="1" si="5"/>
        <v>1</v>
      </c>
      <c r="AA7" s="7">
        <f t="shared" ca="1" si="6"/>
        <v>7</v>
      </c>
    </row>
    <row r="8" spans="1:27" ht="15" thickBot="1" x14ac:dyDescent="0.4">
      <c r="A8" s="7">
        <v>6</v>
      </c>
      <c r="B8" s="11">
        <f t="shared" ca="1" si="7"/>
        <v>44018</v>
      </c>
      <c r="C8" s="12">
        <f t="shared" ca="1" si="0"/>
        <v>44018</v>
      </c>
      <c r="E8" s="29">
        <v>0.39583333333333331</v>
      </c>
      <c r="F8" s="23"/>
      <c r="G8" s="29">
        <v>0.58333333333333337</v>
      </c>
      <c r="H8" s="15"/>
      <c r="I8" s="29">
        <v>0.63541666666666663</v>
      </c>
      <c r="J8" s="24"/>
      <c r="K8" s="29">
        <v>0.77083333333333337</v>
      </c>
      <c r="L8" s="9"/>
      <c r="M8" s="18">
        <f t="shared" ca="1" si="8"/>
        <v>0.3229166666666668</v>
      </c>
      <c r="N8" s="18">
        <f t="shared" ca="1" si="9"/>
        <v>0.3229166666666668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465</v>
      </c>
      <c r="U8" s="22">
        <f t="shared" ca="1" si="2"/>
        <v>465</v>
      </c>
      <c r="V8" s="22">
        <f t="shared" ca="1" si="2"/>
        <v>0</v>
      </c>
      <c r="W8" s="7">
        <f t="shared" ca="1" si="11"/>
        <v>2</v>
      </c>
      <c r="X8" s="19">
        <f t="shared" ca="1" si="3"/>
        <v>0.33333333333333331</v>
      </c>
      <c r="Y8" s="7">
        <f t="shared" ca="1" si="4"/>
        <v>0</v>
      </c>
      <c r="Z8" s="7">
        <f t="shared" ca="1" si="5"/>
        <v>0</v>
      </c>
      <c r="AA8" s="7">
        <f t="shared" ca="1" si="6"/>
        <v>7</v>
      </c>
    </row>
    <row r="9" spans="1:27" ht="15" thickBot="1" x14ac:dyDescent="0.4">
      <c r="A9" s="7">
        <v>7</v>
      </c>
      <c r="B9" s="11">
        <f t="shared" ca="1" si="7"/>
        <v>44019</v>
      </c>
      <c r="C9" s="12">
        <f t="shared" ca="1" si="0"/>
        <v>44019</v>
      </c>
      <c r="D9" s="12"/>
      <c r="E9" s="29">
        <v>0.39583333333333331</v>
      </c>
      <c r="F9" s="23"/>
      <c r="G9" s="29">
        <v>0.58333333333333337</v>
      </c>
      <c r="H9" s="23"/>
      <c r="I9" s="29">
        <v>0.63541666666666663</v>
      </c>
      <c r="J9" s="24"/>
      <c r="K9" s="29">
        <v>0.77083333333333337</v>
      </c>
      <c r="L9" s="9"/>
      <c r="M9" s="18">
        <f t="shared" ca="1" si="8"/>
        <v>0.3229166666666668</v>
      </c>
      <c r="N9" s="18">
        <f t="shared" ca="1" si="9"/>
        <v>0.3229166666666668</v>
      </c>
      <c r="O9" s="19">
        <f t="shared" ca="1" si="1"/>
        <v>0</v>
      </c>
      <c r="P9" s="9"/>
      <c r="Q9" s="30"/>
      <c r="R9" s="21" t="s">
        <v>15</v>
      </c>
      <c r="T9" s="22">
        <f t="shared" ca="1" si="10"/>
        <v>465</v>
      </c>
      <c r="U9" s="22">
        <f t="shared" ca="1" si="2"/>
        <v>465</v>
      </c>
      <c r="V9" s="22">
        <f t="shared" ca="1" si="2"/>
        <v>0</v>
      </c>
      <c r="W9" s="7">
        <f t="shared" ca="1" si="11"/>
        <v>3</v>
      </c>
      <c r="X9" s="19">
        <f t="shared" ca="1" si="3"/>
        <v>0.33333333333333331</v>
      </c>
      <c r="Y9" s="7">
        <f t="shared" ca="1" si="4"/>
        <v>0</v>
      </c>
      <c r="Z9" s="7">
        <f t="shared" ca="1" si="5"/>
        <v>0</v>
      </c>
      <c r="AA9" s="7">
        <f t="shared" ca="1" si="6"/>
        <v>7</v>
      </c>
    </row>
    <row r="10" spans="1:27" ht="15" thickBot="1" x14ac:dyDescent="0.4">
      <c r="A10" s="7">
        <v>8</v>
      </c>
      <c r="B10" s="11">
        <f t="shared" ca="1" si="7"/>
        <v>44020</v>
      </c>
      <c r="C10" s="12">
        <f t="shared" ca="1" si="0"/>
        <v>44020</v>
      </c>
      <c r="E10" s="29">
        <v>0.39583333333333331</v>
      </c>
      <c r="F10" s="23"/>
      <c r="G10" s="29">
        <v>0.58333333333333337</v>
      </c>
      <c r="H10" s="23"/>
      <c r="I10" s="29">
        <v>0.63541666666666663</v>
      </c>
      <c r="J10" s="24"/>
      <c r="K10" s="29">
        <v>0.77083333333333337</v>
      </c>
      <c r="L10" s="9"/>
      <c r="M10" s="18">
        <f t="shared" ca="1" si="8"/>
        <v>0.3229166666666668</v>
      </c>
      <c r="N10" s="18">
        <f t="shared" ca="1" si="9"/>
        <v>0.3229166666666668</v>
      </c>
      <c r="O10" s="19">
        <f t="shared" ca="1" si="1"/>
        <v>0</v>
      </c>
      <c r="P10" s="9"/>
      <c r="Q10" s="20"/>
      <c r="R10" s="21" t="s">
        <v>15</v>
      </c>
      <c r="T10" s="22">
        <f t="shared" ca="1" si="10"/>
        <v>465</v>
      </c>
      <c r="U10" s="22">
        <f t="shared" ca="1" si="2"/>
        <v>465</v>
      </c>
      <c r="V10" s="22">
        <f t="shared" ca="1" si="2"/>
        <v>0</v>
      </c>
      <c r="W10" s="7">
        <f t="shared" ca="1" si="11"/>
        <v>4</v>
      </c>
      <c r="X10" s="19">
        <f t="shared" ca="1" si="3"/>
        <v>0.33333333333333331</v>
      </c>
      <c r="Y10" s="7">
        <f t="shared" ca="1" si="4"/>
        <v>0</v>
      </c>
      <c r="Z10" s="7">
        <f t="shared" ca="1" si="5"/>
        <v>0</v>
      </c>
      <c r="AA10" s="7">
        <f t="shared" ca="1" si="6"/>
        <v>7</v>
      </c>
    </row>
    <row r="11" spans="1:27" ht="15" thickBot="1" x14ac:dyDescent="0.4">
      <c r="A11" s="7">
        <v>9</v>
      </c>
      <c r="B11" s="11">
        <f t="shared" ca="1" si="7"/>
        <v>44021</v>
      </c>
      <c r="C11" s="12">
        <f t="shared" ca="1" si="0"/>
        <v>44021</v>
      </c>
      <c r="D11" s="12"/>
      <c r="E11" s="29">
        <v>0.39583333333333331</v>
      </c>
      <c r="F11" s="23"/>
      <c r="G11" s="29">
        <v>0.58333333333333337</v>
      </c>
      <c r="H11" s="15"/>
      <c r="I11" s="29">
        <v>0.63541666666666663</v>
      </c>
      <c r="J11" s="24"/>
      <c r="K11" s="29">
        <v>0.77083333333333337</v>
      </c>
      <c r="L11" s="9"/>
      <c r="M11" s="18">
        <f t="shared" ca="1" si="8"/>
        <v>0.3229166666666668</v>
      </c>
      <c r="N11" s="18">
        <f t="shared" ca="1" si="9"/>
        <v>0.3229166666666668</v>
      </c>
      <c r="O11" s="19">
        <f t="shared" ca="1" si="1"/>
        <v>0</v>
      </c>
      <c r="P11" s="9"/>
      <c r="Q11" s="30"/>
      <c r="R11" s="21" t="s">
        <v>15</v>
      </c>
      <c r="T11" s="22">
        <f t="shared" ca="1" si="10"/>
        <v>465</v>
      </c>
      <c r="U11" s="22">
        <f t="shared" ca="1" si="2"/>
        <v>465</v>
      </c>
      <c r="V11" s="22">
        <f t="shared" ca="1" si="2"/>
        <v>0</v>
      </c>
      <c r="W11" s="7">
        <f t="shared" ca="1" si="11"/>
        <v>5</v>
      </c>
      <c r="X11" s="19">
        <f t="shared" ca="1" si="3"/>
        <v>0.33333333333333331</v>
      </c>
      <c r="Y11" s="7">
        <f t="shared" ca="1" si="4"/>
        <v>0</v>
      </c>
      <c r="Z11" s="7">
        <f t="shared" ca="1" si="5"/>
        <v>0</v>
      </c>
      <c r="AA11" s="7">
        <f t="shared" ca="1" si="6"/>
        <v>7</v>
      </c>
    </row>
    <row r="12" spans="1:27" ht="15" thickBot="1" x14ac:dyDescent="0.4">
      <c r="A12" s="7">
        <v>10</v>
      </c>
      <c r="B12" s="11">
        <f t="shared" ca="1" si="7"/>
        <v>44022</v>
      </c>
      <c r="C12" s="12">
        <f t="shared" ca="1" si="0"/>
        <v>44022</v>
      </c>
      <c r="E12" s="29">
        <v>0.39583333333333331</v>
      </c>
      <c r="F12" s="23"/>
      <c r="G12" s="29">
        <v>0.5</v>
      </c>
      <c r="H12" s="15"/>
      <c r="I12" s="29">
        <v>0</v>
      </c>
      <c r="J12" s="24"/>
      <c r="K12" s="29">
        <v>0</v>
      </c>
      <c r="L12" s="9"/>
      <c r="M12" s="18">
        <f t="shared" ca="1" si="8"/>
        <v>0.10416666666666669</v>
      </c>
      <c r="N12" s="18">
        <f t="shared" ca="1" si="9"/>
        <v>0.10416666666666669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150</v>
      </c>
      <c r="U12" s="22">
        <f t="shared" ca="1" si="2"/>
        <v>150</v>
      </c>
      <c r="V12" s="22">
        <f t="shared" ca="1" si="2"/>
        <v>0</v>
      </c>
      <c r="W12" s="7">
        <f t="shared" ca="1" si="11"/>
        <v>6</v>
      </c>
      <c r="X12" s="19">
        <f t="shared" ca="1" si="3"/>
        <v>0.25</v>
      </c>
      <c r="Y12" s="7">
        <f t="shared" ca="1" si="4"/>
        <v>0</v>
      </c>
      <c r="Z12" s="7">
        <f t="shared" ca="1" si="5"/>
        <v>0</v>
      </c>
      <c r="AA12" s="7">
        <f t="shared" ca="1" si="6"/>
        <v>7</v>
      </c>
    </row>
    <row r="13" spans="1:27" ht="15" thickBot="1" x14ac:dyDescent="0.4">
      <c r="A13" s="7">
        <v>11</v>
      </c>
      <c r="B13" s="11">
        <f t="shared" ca="1" si="7"/>
        <v>44023</v>
      </c>
      <c r="C13" s="12">
        <f t="shared" ca="1" si="0"/>
        <v>44023</v>
      </c>
      <c r="D13" s="12"/>
      <c r="E13" s="16" t="s">
        <v>3</v>
      </c>
      <c r="F13" s="23"/>
      <c r="G13" s="16" t="s">
        <v>4</v>
      </c>
      <c r="H13" s="15"/>
      <c r="I13" s="16" t="s">
        <v>5</v>
      </c>
      <c r="J13" s="24"/>
      <c r="K13" s="16" t="s">
        <v>6</v>
      </c>
      <c r="L13" s="9"/>
      <c r="M13" s="18">
        <f t="shared" ca="1" si="8"/>
        <v>0</v>
      </c>
      <c r="N13" s="18">
        <f t="shared" ca="1" si="9"/>
        <v>0</v>
      </c>
      <c r="O13" s="19">
        <f t="shared" ca="1" si="1"/>
        <v>0</v>
      </c>
      <c r="P13" s="9"/>
      <c r="Q13" s="20"/>
      <c r="R13" s="21" t="s">
        <v>8</v>
      </c>
      <c r="T13" s="22">
        <f t="shared" ca="1" si="10"/>
        <v>0</v>
      </c>
      <c r="U13" s="22">
        <f t="shared" ca="1" si="2"/>
        <v>0</v>
      </c>
      <c r="V13" s="22">
        <f t="shared" ca="1" si="2"/>
        <v>0</v>
      </c>
      <c r="W13" s="7">
        <f t="shared" ca="1" si="11"/>
        <v>7</v>
      </c>
      <c r="X13" s="19">
        <f t="shared" ca="1" si="3"/>
        <v>0</v>
      </c>
      <c r="Y13" s="7">
        <f t="shared" ca="1" si="4"/>
        <v>0</v>
      </c>
      <c r="Z13" s="7">
        <f t="shared" ca="1" si="5"/>
        <v>1</v>
      </c>
      <c r="AA13" s="7">
        <f t="shared" ca="1" si="6"/>
        <v>7</v>
      </c>
    </row>
    <row r="14" spans="1:27" ht="15" thickBot="1" x14ac:dyDescent="0.4">
      <c r="A14" s="7">
        <v>12</v>
      </c>
      <c r="B14" s="11">
        <f t="shared" ca="1" si="7"/>
        <v>44024</v>
      </c>
      <c r="C14" s="12">
        <f t="shared" ca="1" si="0"/>
        <v>44024</v>
      </c>
      <c r="E14" s="16" t="s">
        <v>3</v>
      </c>
      <c r="F14" s="23"/>
      <c r="G14" s="16" t="s">
        <v>4</v>
      </c>
      <c r="H14" s="15"/>
      <c r="I14" s="16" t="s">
        <v>5</v>
      </c>
      <c r="J14" s="24"/>
      <c r="K14" s="16" t="s">
        <v>6</v>
      </c>
      <c r="L14" s="9"/>
      <c r="M14" s="18">
        <f t="shared" ca="1" si="8"/>
        <v>0</v>
      </c>
      <c r="N14" s="18">
        <f t="shared" ca="1" si="9"/>
        <v>0</v>
      </c>
      <c r="O14" s="19">
        <f t="shared" ca="1" si="1"/>
        <v>0</v>
      </c>
      <c r="P14" s="9"/>
      <c r="Q14" s="20"/>
      <c r="R14" s="21" t="s">
        <v>8</v>
      </c>
      <c r="T14" s="22">
        <f t="shared" ca="1" si="10"/>
        <v>0</v>
      </c>
      <c r="U14" s="22">
        <f t="shared" ca="1" si="2"/>
        <v>0</v>
      </c>
      <c r="V14" s="22">
        <f t="shared" ca="1" si="2"/>
        <v>0</v>
      </c>
      <c r="W14" s="7">
        <f t="shared" ca="1" si="11"/>
        <v>1</v>
      </c>
      <c r="X14" s="19">
        <f t="shared" ca="1" si="3"/>
        <v>0</v>
      </c>
      <c r="Y14" s="7">
        <f t="shared" ca="1" si="4"/>
        <v>0</v>
      </c>
      <c r="Z14" s="7">
        <f t="shared" ca="1" si="5"/>
        <v>1</v>
      </c>
      <c r="AA14" s="7">
        <f t="shared" ca="1" si="6"/>
        <v>7</v>
      </c>
    </row>
    <row r="15" spans="1:27" ht="15" thickBot="1" x14ac:dyDescent="0.4">
      <c r="A15" s="7">
        <v>13</v>
      </c>
      <c r="B15" s="11">
        <f t="shared" ca="1" si="7"/>
        <v>44025</v>
      </c>
      <c r="C15" s="12">
        <f t="shared" ca="1" si="0"/>
        <v>44025</v>
      </c>
      <c r="D15" s="12"/>
      <c r="E15" s="29">
        <v>0.39583333333333331</v>
      </c>
      <c r="F15" s="23"/>
      <c r="G15" s="29">
        <v>0.58333333333333337</v>
      </c>
      <c r="H15" s="15"/>
      <c r="I15" s="29">
        <v>0.63541666666666663</v>
      </c>
      <c r="J15" s="24"/>
      <c r="K15" s="29">
        <v>0.77083333333333337</v>
      </c>
      <c r="L15" s="9"/>
      <c r="M15" s="18">
        <f t="shared" ca="1" si="8"/>
        <v>0.3229166666666668</v>
      </c>
      <c r="N15" s="18">
        <f t="shared" ca="1" si="9"/>
        <v>0.3229166666666668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465</v>
      </c>
      <c r="U15" s="22">
        <f t="shared" ca="1" si="2"/>
        <v>465</v>
      </c>
      <c r="V15" s="22">
        <f t="shared" ca="1" si="2"/>
        <v>0</v>
      </c>
      <c r="W15" s="7">
        <f t="shared" ca="1" si="11"/>
        <v>2</v>
      </c>
      <c r="X15" s="19">
        <f t="shared" ca="1" si="3"/>
        <v>0.33333333333333331</v>
      </c>
      <c r="Y15" s="7">
        <f t="shared" ca="1" si="4"/>
        <v>0</v>
      </c>
      <c r="Z15" s="7">
        <f t="shared" ca="1" si="5"/>
        <v>0</v>
      </c>
      <c r="AA15" s="7">
        <f t="shared" ca="1" si="6"/>
        <v>7</v>
      </c>
    </row>
    <row r="16" spans="1:27" ht="15" thickBot="1" x14ac:dyDescent="0.4">
      <c r="A16" s="7">
        <v>14</v>
      </c>
      <c r="B16" s="11">
        <f t="shared" ca="1" si="7"/>
        <v>44026</v>
      </c>
      <c r="C16" s="12">
        <f t="shared" ca="1" si="0"/>
        <v>44026</v>
      </c>
      <c r="E16" s="29">
        <v>0.39583333333333331</v>
      </c>
      <c r="F16" s="23"/>
      <c r="G16" s="29">
        <v>0.58333333333333337</v>
      </c>
      <c r="H16" s="15"/>
      <c r="I16" s="29">
        <v>0.63541666666666663</v>
      </c>
      <c r="J16" s="24"/>
      <c r="K16" s="29">
        <v>0.77083333333333337</v>
      </c>
      <c r="L16" s="9"/>
      <c r="M16" s="18">
        <f t="shared" ca="1" si="8"/>
        <v>0.3229166666666668</v>
      </c>
      <c r="N16" s="18">
        <f t="shared" ca="1" si="9"/>
        <v>0.3229166666666668</v>
      </c>
      <c r="O16" s="19">
        <f t="shared" ca="1" si="1"/>
        <v>0</v>
      </c>
      <c r="P16" s="9"/>
      <c r="Q16" s="30"/>
      <c r="R16" s="21" t="s">
        <v>15</v>
      </c>
      <c r="T16" s="22">
        <f t="shared" ca="1" si="10"/>
        <v>465</v>
      </c>
      <c r="U16" s="22">
        <f t="shared" ca="1" si="2"/>
        <v>465</v>
      </c>
      <c r="V16" s="22">
        <f t="shared" ca="1" si="2"/>
        <v>0</v>
      </c>
      <c r="W16" s="7">
        <f t="shared" ca="1" si="11"/>
        <v>3</v>
      </c>
      <c r="X16" s="19">
        <f t="shared" ca="1" si="3"/>
        <v>0.33333333333333331</v>
      </c>
      <c r="Y16" s="7">
        <f t="shared" ca="1" si="4"/>
        <v>0</v>
      </c>
      <c r="Z16" s="7">
        <f t="shared" ca="1" si="5"/>
        <v>0</v>
      </c>
      <c r="AA16" s="7">
        <f t="shared" ca="1" si="6"/>
        <v>7</v>
      </c>
    </row>
    <row r="17" spans="1:27" ht="15" thickBot="1" x14ac:dyDescent="0.4">
      <c r="A17" s="7">
        <v>15</v>
      </c>
      <c r="B17" s="11">
        <f t="shared" ca="1" si="7"/>
        <v>44027</v>
      </c>
      <c r="C17" s="12">
        <f t="shared" ca="1" si="0"/>
        <v>44027</v>
      </c>
      <c r="D17" s="12"/>
      <c r="E17" s="29">
        <v>0.39583333333333331</v>
      </c>
      <c r="F17" s="23"/>
      <c r="G17" s="29">
        <v>0.58333333333333337</v>
      </c>
      <c r="H17" s="23"/>
      <c r="I17" s="29">
        <v>0.63541666666666663</v>
      </c>
      <c r="J17" s="24"/>
      <c r="K17" s="29">
        <v>0.77083333333333337</v>
      </c>
      <c r="L17" s="9"/>
      <c r="M17" s="18">
        <f t="shared" ca="1" si="8"/>
        <v>0.3229166666666668</v>
      </c>
      <c r="N17" s="18">
        <f t="shared" ca="1" si="9"/>
        <v>0.3229166666666668</v>
      </c>
      <c r="O17" s="19">
        <f t="shared" ca="1" si="1"/>
        <v>0</v>
      </c>
      <c r="P17" s="9"/>
      <c r="Q17" s="30"/>
      <c r="R17" s="21" t="s">
        <v>15</v>
      </c>
      <c r="T17" s="22">
        <f t="shared" ca="1" si="10"/>
        <v>465</v>
      </c>
      <c r="U17" s="22">
        <f t="shared" ca="1" si="2"/>
        <v>465</v>
      </c>
      <c r="V17" s="22">
        <f t="shared" ca="1" si="2"/>
        <v>0</v>
      </c>
      <c r="W17" s="7">
        <f t="shared" ca="1" si="11"/>
        <v>4</v>
      </c>
      <c r="X17" s="19">
        <f t="shared" ca="1" si="3"/>
        <v>0.33333333333333331</v>
      </c>
      <c r="Y17" s="7">
        <f t="shared" ca="1" si="4"/>
        <v>0</v>
      </c>
      <c r="Z17" s="7">
        <f t="shared" ca="1" si="5"/>
        <v>0</v>
      </c>
      <c r="AA17" s="7">
        <f t="shared" ca="1" si="6"/>
        <v>7</v>
      </c>
    </row>
    <row r="18" spans="1:27" ht="15" thickBot="1" x14ac:dyDescent="0.4">
      <c r="A18" s="7">
        <v>16</v>
      </c>
      <c r="B18" s="11">
        <f t="shared" ca="1" si="7"/>
        <v>44028</v>
      </c>
      <c r="C18" s="12">
        <f t="shared" ca="1" si="0"/>
        <v>44028</v>
      </c>
      <c r="E18" s="29">
        <v>0.65625</v>
      </c>
      <c r="F18" s="23"/>
      <c r="G18" s="29">
        <v>0.73958333333333337</v>
      </c>
      <c r="H18" s="23"/>
      <c r="I18" s="29">
        <v>0</v>
      </c>
      <c r="J18" s="24"/>
      <c r="K18" s="29">
        <v>0</v>
      </c>
      <c r="L18" s="9"/>
      <c r="M18" s="18">
        <f t="shared" ca="1" si="8"/>
        <v>8.333333333333337E-2</v>
      </c>
      <c r="N18" s="18">
        <f t="shared" ca="1" si="9"/>
        <v>8.333333333333337E-2</v>
      </c>
      <c r="O18" s="19">
        <f t="shared" ca="1" si="1"/>
        <v>0</v>
      </c>
      <c r="P18" s="9"/>
      <c r="Q18" s="30"/>
      <c r="R18" s="21" t="s">
        <v>8</v>
      </c>
      <c r="T18" s="22">
        <f t="shared" ca="1" si="10"/>
        <v>120</v>
      </c>
      <c r="U18" s="22">
        <f t="shared" ca="1" si="2"/>
        <v>120</v>
      </c>
      <c r="V18" s="22">
        <f t="shared" ca="1" si="2"/>
        <v>0</v>
      </c>
      <c r="W18" s="7">
        <f t="shared" ca="1" si="11"/>
        <v>5</v>
      </c>
      <c r="X18" s="19">
        <f t="shared" ca="1" si="3"/>
        <v>0.33333333333333331</v>
      </c>
      <c r="Y18" s="7">
        <f t="shared" ca="1" si="4"/>
        <v>0</v>
      </c>
      <c r="Z18" s="7">
        <f t="shared" ca="1" si="5"/>
        <v>0</v>
      </c>
      <c r="AA18" s="7">
        <f t="shared" ca="1" si="6"/>
        <v>7</v>
      </c>
    </row>
    <row r="19" spans="1:27" ht="15" thickBot="1" x14ac:dyDescent="0.4">
      <c r="A19" s="7">
        <v>17</v>
      </c>
      <c r="B19" s="11">
        <f t="shared" ca="1" si="7"/>
        <v>44029</v>
      </c>
      <c r="C19" s="12">
        <f t="shared" ca="1" si="0"/>
        <v>44029</v>
      </c>
      <c r="D19" s="12"/>
      <c r="E19" s="29">
        <v>0.39583333333333331</v>
      </c>
      <c r="F19" s="23"/>
      <c r="G19" s="29">
        <v>0.5</v>
      </c>
      <c r="H19" s="15"/>
      <c r="I19" s="29">
        <v>0</v>
      </c>
      <c r="J19" s="24"/>
      <c r="K19" s="29">
        <v>0</v>
      </c>
      <c r="L19" s="9"/>
      <c r="M19" s="18">
        <f t="shared" ca="1" si="8"/>
        <v>0.10416666666666669</v>
      </c>
      <c r="N19" s="18">
        <f t="shared" ca="1" si="9"/>
        <v>0.10416666666666669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150</v>
      </c>
      <c r="U19" s="22">
        <f t="shared" ca="1" si="10"/>
        <v>150</v>
      </c>
      <c r="V19" s="22">
        <f t="shared" ca="1" si="10"/>
        <v>0</v>
      </c>
      <c r="W19" s="7">
        <f t="shared" ca="1" si="11"/>
        <v>6</v>
      </c>
      <c r="X19" s="19">
        <f t="shared" ca="1" si="3"/>
        <v>0.25</v>
      </c>
      <c r="Y19" s="7">
        <f t="shared" ca="1" si="4"/>
        <v>0</v>
      </c>
      <c r="Z19" s="7">
        <f t="shared" ca="1" si="5"/>
        <v>0</v>
      </c>
      <c r="AA19" s="7">
        <f t="shared" ca="1" si="6"/>
        <v>7</v>
      </c>
    </row>
    <row r="20" spans="1:27" ht="15" thickBot="1" x14ac:dyDescent="0.4">
      <c r="A20" s="7">
        <v>18</v>
      </c>
      <c r="B20" s="11">
        <f t="shared" ca="1" si="7"/>
        <v>44030</v>
      </c>
      <c r="C20" s="12">
        <f t="shared" ca="1" si="0"/>
        <v>44030</v>
      </c>
      <c r="E20" s="16" t="s">
        <v>3</v>
      </c>
      <c r="F20" s="23"/>
      <c r="G20" s="16" t="s">
        <v>4</v>
      </c>
      <c r="H20" s="15"/>
      <c r="I20" s="16" t="s">
        <v>30</v>
      </c>
      <c r="J20" s="24"/>
      <c r="K20" s="16" t="s">
        <v>34</v>
      </c>
      <c r="L20" s="9"/>
      <c r="M20" s="18">
        <f t="shared" ca="1" si="8"/>
        <v>0</v>
      </c>
      <c r="N20" s="18">
        <f t="shared" ca="1" si="9"/>
        <v>0</v>
      </c>
      <c r="O20" s="19">
        <f t="shared" ca="1" si="1"/>
        <v>0</v>
      </c>
      <c r="P20" s="9"/>
      <c r="Q20" s="20"/>
      <c r="R20" s="21" t="s">
        <v>8</v>
      </c>
      <c r="T20" s="22">
        <f t="shared" ca="1" si="10"/>
        <v>0</v>
      </c>
      <c r="U20" s="22">
        <f t="shared" ca="1" si="10"/>
        <v>0</v>
      </c>
      <c r="V20" s="22">
        <f t="shared" ca="1" si="10"/>
        <v>0</v>
      </c>
      <c r="W20" s="7">
        <f t="shared" ca="1" si="11"/>
        <v>7</v>
      </c>
      <c r="X20" s="19">
        <f t="shared" ca="1" si="3"/>
        <v>0</v>
      </c>
      <c r="Y20" s="7">
        <f t="shared" ca="1" si="4"/>
        <v>0</v>
      </c>
      <c r="Z20" s="7">
        <f t="shared" ca="1" si="5"/>
        <v>1</v>
      </c>
      <c r="AA20" s="7">
        <f t="shared" ca="1" si="6"/>
        <v>7</v>
      </c>
    </row>
    <row r="21" spans="1:27" ht="15" thickBot="1" x14ac:dyDescent="0.4">
      <c r="A21" s="7">
        <v>19</v>
      </c>
      <c r="B21" s="11">
        <f t="shared" ca="1" si="7"/>
        <v>44031</v>
      </c>
      <c r="C21" s="12">
        <f t="shared" ca="1" si="0"/>
        <v>44031</v>
      </c>
      <c r="D21" s="12"/>
      <c r="E21" s="16" t="s">
        <v>3</v>
      </c>
      <c r="F21" s="23"/>
      <c r="G21" s="29">
        <v>0.5</v>
      </c>
      <c r="H21" s="15"/>
      <c r="I21" s="16" t="s">
        <v>31</v>
      </c>
      <c r="J21" s="24"/>
      <c r="K21" s="16" t="s">
        <v>35</v>
      </c>
      <c r="L21" s="9"/>
      <c r="M21" s="18">
        <f t="shared" ca="1" si="8"/>
        <v>0</v>
      </c>
      <c r="N21" s="18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0</v>
      </c>
      <c r="U21" s="22">
        <f t="shared" ca="1" si="10"/>
        <v>0</v>
      </c>
      <c r="V21" s="22">
        <f t="shared" ca="1" si="10"/>
        <v>0</v>
      </c>
      <c r="W21" s="7">
        <f t="shared" ca="1" si="11"/>
        <v>1</v>
      </c>
      <c r="X21" s="19">
        <f t="shared" ca="1" si="3"/>
        <v>0</v>
      </c>
      <c r="Y21" s="7">
        <f t="shared" ca="1" si="4"/>
        <v>0</v>
      </c>
      <c r="Z21" s="7">
        <f t="shared" ca="1" si="5"/>
        <v>1</v>
      </c>
      <c r="AA21" s="7">
        <f t="shared" ca="1" si="6"/>
        <v>7</v>
      </c>
    </row>
    <row r="22" spans="1:27" ht="15" thickBot="1" x14ac:dyDescent="0.4">
      <c r="A22" s="7">
        <v>20</v>
      </c>
      <c r="B22" s="11">
        <f t="shared" ca="1" si="7"/>
        <v>44032</v>
      </c>
      <c r="C22" s="12">
        <f t="shared" ca="1" si="0"/>
        <v>44032</v>
      </c>
      <c r="E22" s="29">
        <v>0.39583333333333331</v>
      </c>
      <c r="F22" s="23"/>
      <c r="G22" s="29">
        <v>0.58333333333333337</v>
      </c>
      <c r="H22" s="15"/>
      <c r="I22" s="29">
        <v>0.63541666666666663</v>
      </c>
      <c r="J22" s="24"/>
      <c r="K22" s="29">
        <v>0.77083333333333337</v>
      </c>
      <c r="L22" s="9"/>
      <c r="M22" s="18">
        <f t="shared" ca="1" si="8"/>
        <v>0.3229166666666668</v>
      </c>
      <c r="N22" s="18">
        <f t="shared" ca="1" si="9"/>
        <v>0.3229166666666668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465</v>
      </c>
      <c r="U22" s="22">
        <f t="shared" ca="1" si="10"/>
        <v>465</v>
      </c>
      <c r="V22" s="22">
        <f t="shared" ca="1" si="10"/>
        <v>0</v>
      </c>
      <c r="W22" s="7">
        <f t="shared" ca="1" si="11"/>
        <v>2</v>
      </c>
      <c r="X22" s="19">
        <f t="shared" ca="1" si="3"/>
        <v>0.33333333333333331</v>
      </c>
      <c r="Y22" s="7">
        <f t="shared" ca="1" si="4"/>
        <v>0</v>
      </c>
      <c r="Z22" s="7">
        <f t="shared" ca="1" si="5"/>
        <v>0</v>
      </c>
      <c r="AA22" s="7">
        <f t="shared" ca="1" si="6"/>
        <v>7</v>
      </c>
    </row>
    <row r="23" spans="1:27" ht="15" thickBot="1" x14ac:dyDescent="0.4">
      <c r="A23" s="7">
        <v>21</v>
      </c>
      <c r="B23" s="11">
        <f t="shared" ca="1" si="7"/>
        <v>44033</v>
      </c>
      <c r="C23" s="12">
        <f t="shared" ca="1" si="0"/>
        <v>44033</v>
      </c>
      <c r="D23" s="12"/>
      <c r="E23" s="29">
        <v>0.39583333333333331</v>
      </c>
      <c r="F23" s="23"/>
      <c r="G23" s="29">
        <v>0.58333333333333337</v>
      </c>
      <c r="H23" s="15"/>
      <c r="I23" s="29">
        <v>0.63541666666666663</v>
      </c>
      <c r="J23" s="24"/>
      <c r="K23" s="29">
        <v>0.77083333333333337</v>
      </c>
      <c r="L23" s="9"/>
      <c r="M23" s="18">
        <f t="shared" ca="1" si="8"/>
        <v>0.3229166666666668</v>
      </c>
      <c r="N23" s="18">
        <f t="shared" ca="1" si="9"/>
        <v>0.3229166666666668</v>
      </c>
      <c r="O23" s="19">
        <f t="shared" ca="1" si="1"/>
        <v>0</v>
      </c>
      <c r="P23" s="9"/>
      <c r="Q23" s="30"/>
      <c r="R23" s="21" t="s">
        <v>15</v>
      </c>
      <c r="T23" s="22">
        <f t="shared" ca="1" si="10"/>
        <v>465</v>
      </c>
      <c r="U23" s="22">
        <f t="shared" ca="1" si="10"/>
        <v>465</v>
      </c>
      <c r="V23" s="22">
        <f t="shared" ca="1" si="10"/>
        <v>0</v>
      </c>
      <c r="W23" s="7">
        <f t="shared" ca="1" si="11"/>
        <v>3</v>
      </c>
      <c r="X23" s="19">
        <f t="shared" ca="1" si="3"/>
        <v>0.33333333333333331</v>
      </c>
      <c r="Y23" s="7">
        <f t="shared" ca="1" si="4"/>
        <v>0</v>
      </c>
      <c r="Z23" s="7">
        <f t="shared" ca="1" si="5"/>
        <v>0</v>
      </c>
      <c r="AA23" s="7">
        <f t="shared" ca="1" si="6"/>
        <v>7</v>
      </c>
    </row>
    <row r="24" spans="1:27" ht="15" thickBot="1" x14ac:dyDescent="0.4">
      <c r="A24" s="7">
        <v>22</v>
      </c>
      <c r="B24" s="11">
        <f t="shared" ca="1" si="7"/>
        <v>44034</v>
      </c>
      <c r="C24" s="12">
        <f t="shared" ca="1" si="0"/>
        <v>44034</v>
      </c>
      <c r="E24" s="29">
        <v>0.39583333333333331</v>
      </c>
      <c r="F24" s="23"/>
      <c r="G24" s="29">
        <v>0.58333333333333337</v>
      </c>
      <c r="H24" s="15"/>
      <c r="I24" s="29">
        <v>0.63541666666666663</v>
      </c>
      <c r="J24" s="24"/>
      <c r="K24" s="29">
        <v>0.77083333333333337</v>
      </c>
      <c r="L24" s="9"/>
      <c r="M24" s="18">
        <f t="shared" ca="1" si="8"/>
        <v>0.3229166666666668</v>
      </c>
      <c r="N24" s="18">
        <f t="shared" ca="1" si="9"/>
        <v>0.3229166666666668</v>
      </c>
      <c r="O24" s="19">
        <f t="shared" ca="1" si="1"/>
        <v>0</v>
      </c>
      <c r="P24" s="9"/>
      <c r="Q24" s="30"/>
      <c r="R24" s="21" t="s">
        <v>15</v>
      </c>
      <c r="T24" s="22">
        <f t="shared" ca="1" si="10"/>
        <v>465</v>
      </c>
      <c r="U24" s="22">
        <f t="shared" ca="1" si="10"/>
        <v>465</v>
      </c>
      <c r="V24" s="22">
        <f t="shared" ca="1" si="10"/>
        <v>0</v>
      </c>
      <c r="W24" s="7">
        <f t="shared" ca="1" si="11"/>
        <v>4</v>
      </c>
      <c r="X24" s="19">
        <f t="shared" ca="1" si="3"/>
        <v>0.33333333333333331</v>
      </c>
      <c r="Y24" s="7">
        <f t="shared" ca="1" si="4"/>
        <v>0</v>
      </c>
      <c r="Z24" s="7">
        <f t="shared" ca="1" si="5"/>
        <v>0</v>
      </c>
      <c r="AA24" s="7">
        <f t="shared" ca="1" si="6"/>
        <v>7</v>
      </c>
    </row>
    <row r="25" spans="1:27" ht="15" thickBot="1" x14ac:dyDescent="0.4">
      <c r="A25" s="7">
        <v>23</v>
      </c>
      <c r="B25" s="11">
        <f t="shared" ca="1" si="7"/>
        <v>44035</v>
      </c>
      <c r="C25" s="12">
        <f t="shared" ca="1" si="0"/>
        <v>44035</v>
      </c>
      <c r="D25" s="12"/>
      <c r="E25" s="29">
        <v>0.39583333333333331</v>
      </c>
      <c r="F25" s="23"/>
      <c r="G25" s="29">
        <v>0.58333333333333337</v>
      </c>
      <c r="H25" s="23"/>
      <c r="I25" s="29">
        <v>0.63541666666666663</v>
      </c>
      <c r="J25" s="24"/>
      <c r="K25" s="29">
        <v>0.77083333333333337</v>
      </c>
      <c r="L25" s="9"/>
      <c r="M25" s="18">
        <f t="shared" ca="1" si="8"/>
        <v>0.3229166666666668</v>
      </c>
      <c r="N25" s="18">
        <f t="shared" ca="1" si="9"/>
        <v>0.3229166666666668</v>
      </c>
      <c r="O25" s="19">
        <f t="shared" ca="1" si="1"/>
        <v>0</v>
      </c>
      <c r="P25" s="9"/>
      <c r="Q25" s="30"/>
      <c r="R25" s="21" t="s">
        <v>15</v>
      </c>
      <c r="T25" s="22">
        <f t="shared" ca="1" si="10"/>
        <v>465</v>
      </c>
      <c r="U25" s="22">
        <f t="shared" ca="1" si="10"/>
        <v>465</v>
      </c>
      <c r="V25" s="22">
        <f t="shared" ca="1" si="10"/>
        <v>0</v>
      </c>
      <c r="W25" s="7">
        <f t="shared" ca="1" si="11"/>
        <v>5</v>
      </c>
      <c r="X25" s="19">
        <f t="shared" ca="1" si="3"/>
        <v>0.33333333333333331</v>
      </c>
      <c r="Y25" s="7">
        <f t="shared" ca="1" si="4"/>
        <v>0</v>
      </c>
      <c r="Z25" s="7">
        <f t="shared" ca="1" si="5"/>
        <v>0</v>
      </c>
      <c r="AA25" s="7">
        <f t="shared" ca="1" si="6"/>
        <v>7</v>
      </c>
    </row>
    <row r="26" spans="1:27" ht="15" thickBot="1" x14ac:dyDescent="0.4">
      <c r="A26" s="7">
        <v>24</v>
      </c>
      <c r="B26" s="11">
        <f t="shared" ca="1" si="7"/>
        <v>44036</v>
      </c>
      <c r="C26" s="12">
        <f t="shared" ca="1" si="0"/>
        <v>44036</v>
      </c>
      <c r="E26" s="29">
        <v>0.39583333333333331</v>
      </c>
      <c r="F26" s="23"/>
      <c r="G26" s="29">
        <v>0.5</v>
      </c>
      <c r="H26" s="23"/>
      <c r="I26" s="29">
        <v>0</v>
      </c>
      <c r="J26" s="24"/>
      <c r="K26" s="29">
        <v>0</v>
      </c>
      <c r="L26" s="9"/>
      <c r="M26" s="18">
        <f t="shared" ca="1" si="8"/>
        <v>0.10416666666666669</v>
      </c>
      <c r="N26" s="18">
        <f t="shared" ca="1" si="9"/>
        <v>0.10416666666666669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150</v>
      </c>
      <c r="U26" s="22">
        <f t="shared" ca="1" si="10"/>
        <v>150</v>
      </c>
      <c r="V26" s="22">
        <f t="shared" ca="1" si="10"/>
        <v>0</v>
      </c>
      <c r="W26" s="7">
        <f t="shared" ca="1" si="11"/>
        <v>6</v>
      </c>
      <c r="X26" s="19">
        <f t="shared" ca="1" si="3"/>
        <v>0.25</v>
      </c>
      <c r="Y26" s="7">
        <f t="shared" ca="1" si="4"/>
        <v>0</v>
      </c>
      <c r="Z26" s="7">
        <f t="shared" ca="1" si="5"/>
        <v>0</v>
      </c>
      <c r="AA26" s="7">
        <f t="shared" ca="1" si="6"/>
        <v>7</v>
      </c>
    </row>
    <row r="27" spans="1:27" ht="15" thickBot="1" x14ac:dyDescent="0.4">
      <c r="A27" s="7">
        <v>25</v>
      </c>
      <c r="B27" s="11">
        <f t="shared" ca="1" si="7"/>
        <v>44037</v>
      </c>
      <c r="C27" s="12">
        <f t="shared" ca="1" si="0"/>
        <v>44037</v>
      </c>
      <c r="D27" s="12"/>
      <c r="E27" s="16" t="s">
        <v>3</v>
      </c>
      <c r="F27" s="23"/>
      <c r="G27" s="16" t="s">
        <v>4</v>
      </c>
      <c r="H27" s="15"/>
      <c r="I27" s="16" t="s">
        <v>32</v>
      </c>
      <c r="J27" s="24"/>
      <c r="K27" s="29" t="s">
        <v>36</v>
      </c>
      <c r="L27" s="9"/>
      <c r="M27" s="18">
        <f t="shared" ca="1" si="8"/>
        <v>0</v>
      </c>
      <c r="N27" s="18">
        <f t="shared" ca="1" si="9"/>
        <v>0</v>
      </c>
      <c r="O27" s="19">
        <f t="shared" ca="1" si="1"/>
        <v>0</v>
      </c>
      <c r="P27" s="9"/>
      <c r="Q27" s="20"/>
      <c r="R27" s="21" t="s">
        <v>8</v>
      </c>
      <c r="T27" s="22">
        <f t="shared" ca="1" si="10"/>
        <v>0</v>
      </c>
      <c r="U27" s="22">
        <f t="shared" ca="1" si="10"/>
        <v>0</v>
      </c>
      <c r="V27" s="22">
        <f t="shared" ca="1" si="10"/>
        <v>0</v>
      </c>
      <c r="W27" s="7">
        <f t="shared" ca="1" si="11"/>
        <v>7</v>
      </c>
      <c r="X27" s="19">
        <f t="shared" ca="1" si="3"/>
        <v>0</v>
      </c>
      <c r="Y27" s="7">
        <f t="shared" ca="1" si="4"/>
        <v>0</v>
      </c>
      <c r="Z27" s="7">
        <f t="shared" ca="1" si="5"/>
        <v>1</v>
      </c>
      <c r="AA27" s="7">
        <f t="shared" ca="1" si="6"/>
        <v>7</v>
      </c>
    </row>
    <row r="28" spans="1:27" ht="15" thickBot="1" x14ac:dyDescent="0.4">
      <c r="A28" s="7">
        <v>26</v>
      </c>
      <c r="B28" s="11">
        <f t="shared" ca="1" si="7"/>
        <v>44038</v>
      </c>
      <c r="C28" s="12">
        <f t="shared" ca="1" si="0"/>
        <v>44038</v>
      </c>
      <c r="E28" s="16" t="s">
        <v>3</v>
      </c>
      <c r="F28" s="23"/>
      <c r="G28" s="16" t="s">
        <v>4</v>
      </c>
      <c r="H28" s="15"/>
      <c r="I28" s="16" t="s">
        <v>33</v>
      </c>
      <c r="J28" s="24"/>
      <c r="K28" s="29" t="s">
        <v>37</v>
      </c>
      <c r="L28" s="9"/>
      <c r="M28" s="18">
        <f t="shared" ca="1" si="8"/>
        <v>0</v>
      </c>
      <c r="N28" s="18">
        <f t="shared" ca="1" si="9"/>
        <v>0</v>
      </c>
      <c r="O28" s="19">
        <f t="shared" ca="1" si="1"/>
        <v>0</v>
      </c>
      <c r="P28" s="9"/>
      <c r="Q28" s="20"/>
      <c r="R28" s="21" t="s">
        <v>8</v>
      </c>
      <c r="T28" s="22">
        <f t="shared" ca="1" si="10"/>
        <v>0</v>
      </c>
      <c r="U28" s="22">
        <f t="shared" ca="1" si="10"/>
        <v>0</v>
      </c>
      <c r="V28" s="22">
        <f t="shared" ca="1" si="10"/>
        <v>0</v>
      </c>
      <c r="W28" s="7">
        <f t="shared" ca="1" si="11"/>
        <v>1</v>
      </c>
      <c r="X28" s="19">
        <f t="shared" ca="1" si="3"/>
        <v>0</v>
      </c>
      <c r="Y28" s="7">
        <f t="shared" ca="1" si="4"/>
        <v>0</v>
      </c>
      <c r="Z28" s="7">
        <f t="shared" ca="1" si="5"/>
        <v>1</v>
      </c>
      <c r="AA28" s="7">
        <f t="shared" ca="1" si="6"/>
        <v>7</v>
      </c>
    </row>
    <row r="29" spans="1:27" ht="15" thickBot="1" x14ac:dyDescent="0.4">
      <c r="A29" s="7">
        <v>27</v>
      </c>
      <c r="B29" s="11">
        <f t="shared" ca="1" si="7"/>
        <v>44039</v>
      </c>
      <c r="C29" s="12">
        <f t="shared" ca="1" si="0"/>
        <v>44039</v>
      </c>
      <c r="D29" s="12"/>
      <c r="E29" s="29">
        <v>0.39583333333333331</v>
      </c>
      <c r="F29" s="23"/>
      <c r="G29" s="29">
        <v>0.58333333333333337</v>
      </c>
      <c r="H29" s="15"/>
      <c r="I29" s="29">
        <v>0.63541666666666663</v>
      </c>
      <c r="J29" s="24"/>
      <c r="K29" s="29">
        <v>0.77083333333333337</v>
      </c>
      <c r="L29" s="9"/>
      <c r="M29" s="18">
        <f t="shared" ca="1" si="8"/>
        <v>0.3229166666666668</v>
      </c>
      <c r="N29" s="18">
        <f t="shared" ca="1" si="9"/>
        <v>0.3229166666666668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465</v>
      </c>
      <c r="U29" s="22">
        <f t="shared" ca="1" si="10"/>
        <v>465</v>
      </c>
      <c r="V29" s="22">
        <f t="shared" ca="1" si="10"/>
        <v>0</v>
      </c>
      <c r="W29" s="7">
        <f t="shared" ca="1" si="11"/>
        <v>2</v>
      </c>
      <c r="X29" s="19">
        <f t="shared" ca="1" si="3"/>
        <v>0.33333333333333331</v>
      </c>
      <c r="Y29" s="7">
        <f t="shared" ca="1" si="4"/>
        <v>0</v>
      </c>
      <c r="Z29" s="7">
        <f t="shared" ca="1" si="5"/>
        <v>0</v>
      </c>
      <c r="AA29" s="7">
        <f t="shared" ca="1" si="6"/>
        <v>7</v>
      </c>
    </row>
    <row r="30" spans="1:27" ht="15" thickBot="1" x14ac:dyDescent="0.4">
      <c r="A30" s="7">
        <v>28</v>
      </c>
      <c r="B30" s="11">
        <f t="shared" ca="1" si="7"/>
        <v>44040</v>
      </c>
      <c r="C30" s="12">
        <f t="shared" ca="1" si="0"/>
        <v>44040</v>
      </c>
      <c r="E30" s="29">
        <v>0.39583333333333331</v>
      </c>
      <c r="F30" s="23"/>
      <c r="G30" s="29">
        <v>0.58333333333333337</v>
      </c>
      <c r="H30" s="15"/>
      <c r="I30" s="29">
        <v>0.63541666666666663</v>
      </c>
      <c r="J30" s="24"/>
      <c r="K30" s="29">
        <v>0.77083333333333337</v>
      </c>
      <c r="L30" s="9"/>
      <c r="M30" s="18">
        <f t="shared" ca="1" si="8"/>
        <v>0.3229166666666668</v>
      </c>
      <c r="N30" s="18">
        <f t="shared" ca="1" si="9"/>
        <v>0.3229166666666668</v>
      </c>
      <c r="O30" s="19">
        <f t="shared" ca="1" si="1"/>
        <v>0</v>
      </c>
      <c r="P30" s="9"/>
      <c r="Q30" s="30"/>
      <c r="R30" s="21" t="s">
        <v>15</v>
      </c>
      <c r="T30" s="22">
        <f t="shared" ca="1" si="10"/>
        <v>465</v>
      </c>
      <c r="U30" s="22">
        <f t="shared" ca="1" si="10"/>
        <v>465</v>
      </c>
      <c r="V30" s="22">
        <f t="shared" ca="1" si="10"/>
        <v>0</v>
      </c>
      <c r="W30" s="7">
        <f t="shared" ca="1" si="11"/>
        <v>3</v>
      </c>
      <c r="X30" s="19">
        <f t="shared" ca="1" si="3"/>
        <v>0.33333333333333331</v>
      </c>
      <c r="Y30" s="7">
        <f t="shared" ca="1" si="4"/>
        <v>0</v>
      </c>
      <c r="Z30" s="7">
        <f t="shared" ca="1" si="5"/>
        <v>0</v>
      </c>
      <c r="AA30" s="7">
        <f t="shared" ca="1" si="6"/>
        <v>7</v>
      </c>
    </row>
    <row r="31" spans="1:27" ht="15" thickBot="1" x14ac:dyDescent="0.4">
      <c r="A31" s="7">
        <v>29</v>
      </c>
      <c r="B31" s="11">
        <f t="shared" ca="1" si="7"/>
        <v>44041</v>
      </c>
      <c r="C31" s="12">
        <f t="shared" ca="1" si="0"/>
        <v>44041</v>
      </c>
      <c r="D31" s="12"/>
      <c r="E31" s="29">
        <v>0.39583333333333331</v>
      </c>
      <c r="F31" s="23"/>
      <c r="G31" s="29">
        <v>0.58333333333333337</v>
      </c>
      <c r="H31" s="15"/>
      <c r="I31" s="29">
        <v>0.63541666666666663</v>
      </c>
      <c r="J31" s="24"/>
      <c r="K31" s="29">
        <v>0.77083333333333337</v>
      </c>
      <c r="L31" s="9"/>
      <c r="M31" s="18">
        <f t="shared" ca="1" si="8"/>
        <v>0.3229166666666668</v>
      </c>
      <c r="N31" s="18">
        <f t="shared" ca="1" si="9"/>
        <v>0.3229166666666668</v>
      </c>
      <c r="O31" s="19">
        <f t="shared" ca="1" si="1"/>
        <v>0</v>
      </c>
      <c r="P31" s="9"/>
      <c r="Q31" s="30"/>
      <c r="R31" s="21" t="s">
        <v>15</v>
      </c>
      <c r="T31" s="22">
        <f t="shared" ca="1" si="10"/>
        <v>465</v>
      </c>
      <c r="U31" s="22">
        <f t="shared" ca="1" si="10"/>
        <v>465</v>
      </c>
      <c r="V31" s="22">
        <f t="shared" ca="1" si="10"/>
        <v>0</v>
      </c>
      <c r="W31" s="7">
        <f t="shared" ca="1" si="11"/>
        <v>4</v>
      </c>
      <c r="X31" s="19">
        <f t="shared" ca="1" si="3"/>
        <v>0.33333333333333331</v>
      </c>
      <c r="Y31" s="7">
        <f t="shared" ca="1" si="4"/>
        <v>0</v>
      </c>
      <c r="Z31" s="7">
        <f t="shared" ca="1" si="5"/>
        <v>0</v>
      </c>
      <c r="AA31" s="7">
        <f t="shared" ca="1" si="6"/>
        <v>7</v>
      </c>
    </row>
    <row r="32" spans="1:27" ht="15" thickBot="1" x14ac:dyDescent="0.4">
      <c r="A32" s="7">
        <v>30</v>
      </c>
      <c r="B32" s="11">
        <f t="shared" ca="1" si="7"/>
        <v>44042</v>
      </c>
      <c r="C32" s="12">
        <f t="shared" ca="1" si="0"/>
        <v>44042</v>
      </c>
      <c r="E32" s="29">
        <v>0.39583333333333331</v>
      </c>
      <c r="F32" s="23"/>
      <c r="G32" s="29">
        <v>0.58333333333333337</v>
      </c>
      <c r="H32" s="15"/>
      <c r="I32" s="29">
        <v>0.63541666666666663</v>
      </c>
      <c r="J32" s="24"/>
      <c r="K32" s="29">
        <v>0.77083333333333337</v>
      </c>
      <c r="L32" s="9"/>
      <c r="M32" s="18">
        <f t="shared" ca="1" si="8"/>
        <v>0.3229166666666668</v>
      </c>
      <c r="N32" s="18">
        <f t="shared" ca="1" si="9"/>
        <v>0.3229166666666668</v>
      </c>
      <c r="O32" s="19">
        <f t="shared" ca="1" si="1"/>
        <v>0</v>
      </c>
      <c r="P32" s="9"/>
      <c r="Q32" s="30"/>
      <c r="R32" s="21" t="s">
        <v>15</v>
      </c>
      <c r="T32" s="22">
        <f t="shared" ca="1" si="10"/>
        <v>465</v>
      </c>
      <c r="U32" s="22">
        <f t="shared" ca="1" si="10"/>
        <v>465</v>
      </c>
      <c r="V32" s="22">
        <f t="shared" ca="1" si="10"/>
        <v>0</v>
      </c>
      <c r="W32" s="7">
        <f t="shared" ca="1" si="11"/>
        <v>5</v>
      </c>
      <c r="X32" s="19">
        <f t="shared" ca="1" si="3"/>
        <v>0.33333333333333331</v>
      </c>
      <c r="Y32" s="7">
        <f t="shared" ca="1" si="4"/>
        <v>0</v>
      </c>
      <c r="Z32" s="7">
        <f t="shared" ca="1" si="5"/>
        <v>0</v>
      </c>
      <c r="AA32" s="7">
        <f t="shared" ca="1" si="6"/>
        <v>7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44043</v>
      </c>
      <c r="E33" s="29">
        <v>0.375</v>
      </c>
      <c r="F33" s="23"/>
      <c r="G33" s="29">
        <v>0.64583333333333337</v>
      </c>
      <c r="H33" s="15"/>
      <c r="I33" s="29">
        <v>0.625</v>
      </c>
      <c r="J33" s="24"/>
      <c r="K33" s="29">
        <v>0.77083333333333337</v>
      </c>
      <c r="L33" s="9"/>
      <c r="M33" s="18">
        <f t="shared" ca="1" si="8"/>
        <v>0.41666666666666674</v>
      </c>
      <c r="N33" s="18">
        <f t="shared" ca="1" si="9"/>
        <v>0.25</v>
      </c>
      <c r="O33" s="19">
        <f t="shared" ca="1" si="1"/>
        <v>0.16666666666666674</v>
      </c>
      <c r="P33" s="9"/>
      <c r="Q33" s="20"/>
      <c r="R33" s="21" t="s">
        <v>15</v>
      </c>
      <c r="T33" s="22">
        <f t="shared" ca="1" si="10"/>
        <v>600</v>
      </c>
      <c r="U33" s="22">
        <f t="shared" ca="1" si="10"/>
        <v>360</v>
      </c>
      <c r="V33" s="22">
        <f t="shared" ca="1" si="10"/>
        <v>240</v>
      </c>
      <c r="W33" s="7">
        <f t="shared" ca="1" si="11"/>
        <v>6</v>
      </c>
      <c r="X33" s="19">
        <f t="shared" ca="1" si="3"/>
        <v>0.25</v>
      </c>
      <c r="Y33" s="7">
        <f t="shared" ca="1" si="4"/>
        <v>0</v>
      </c>
      <c r="Z33" s="7">
        <f t="shared" ca="1" si="5"/>
        <v>0</v>
      </c>
      <c r="AA33" s="7">
        <f t="shared" ca="1" si="6"/>
        <v>7</v>
      </c>
    </row>
    <row r="34" spans="1:27" ht="15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152.5</v>
      </c>
      <c r="N35" s="27">
        <f ca="1">SUM(U3:U33)/60</f>
        <v>146.5</v>
      </c>
      <c r="O35" s="27">
        <f ca="1">SUM(V3:V33)/60</f>
        <v>6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aHQDdQYNL2ap+1o+r8xj4Lo3R4IYN5qRcnyGj9gAU1s/AJ6MLu5ysAwirAihefiDgVAS+hLZUjFfkXq3Npa/1w==" saltValue="bSqdOwJMhEYwz/vs8vep3Q==" spinCount="100000" sheet="1" objects="1" scenarios="1"/>
  <mergeCells count="1">
    <mergeCell ref="B1:C1"/>
  </mergeCells>
  <conditionalFormatting sqref="G3:G33 E3:E33">
    <cfRule type="expression" dxfId="126" priority="5">
      <formula>VALUE(SUBSTITUTE($G3,":",""))&lt;VALUE(SUBSTITUTE($E3,":",""))</formula>
    </cfRule>
  </conditionalFormatting>
  <conditionalFormatting sqref="I3:I33 K3:K33">
    <cfRule type="expression" dxfId="125" priority="9">
      <formula>($K3-$I3)&lt;0</formula>
    </cfRule>
  </conditionalFormatting>
  <conditionalFormatting sqref="O3:O33">
    <cfRule type="cellIs" dxfId="124" priority="8" operator="greaterThan">
      <formula>0.1</formula>
    </cfRule>
    <cfRule type="expression" dxfId="123" priority="15">
      <formula>$R3="Fecha cerrada"</formula>
    </cfRule>
  </conditionalFormatting>
  <conditionalFormatting sqref="N3:N33">
    <cfRule type="expression" dxfId="122" priority="14">
      <formula>VALUE(SUBSTITUTE($G3,":",""))&lt;VALUE(SUBSTITUTE($E3,":",""))</formula>
    </cfRule>
  </conditionalFormatting>
  <conditionalFormatting sqref="N3:N33">
    <cfRule type="expression" dxfId="121" priority="13">
      <formula>$R3="Fecha cerrada"</formula>
    </cfRule>
  </conditionalFormatting>
  <conditionalFormatting sqref="X3:X33">
    <cfRule type="expression" dxfId="120" priority="12">
      <formula>VALUE(SUBSTITUTE($G3,":",""))&lt;VALUE(SUBSTITUTE($E3,":",""))</formula>
    </cfRule>
  </conditionalFormatting>
  <conditionalFormatting sqref="X3:X33">
    <cfRule type="expression" dxfId="119" priority="11">
      <formula>$R3="Fecha cerrada"</formula>
    </cfRule>
  </conditionalFormatting>
  <conditionalFormatting sqref="Q3:R33 N3:O33 E3:K33">
    <cfRule type="expression" dxfId="118" priority="1">
      <formula>OR($W3=1,$W3=7,$AA3&lt;&gt;_xlfn.SHEET($A$1),,IFERROR(VLOOKUP($C3,DiasVacaciones,1,FALSE+$O$14:$Q$14),0)&lt;&gt;0)</formula>
    </cfRule>
  </conditionalFormatting>
  <conditionalFormatting sqref="R3:R33">
    <cfRule type="cellIs" dxfId="117" priority="6" operator="equal">
      <formula>"Confirmar Fecha"</formula>
    </cfRule>
    <cfRule type="cellIs" dxfId="116" priority="7" operator="equal">
      <formula>"Confirmada"</formula>
    </cfRule>
  </conditionalFormatting>
  <conditionalFormatting sqref="M3:M33">
    <cfRule type="expression" dxfId="115" priority="4">
      <formula>VALUE(SUBSTITUTE($G3,":",""))&lt;VALUE(SUBSTITUTE($E3,":",""))</formula>
    </cfRule>
  </conditionalFormatting>
  <conditionalFormatting sqref="M3:M33">
    <cfRule type="expression" dxfId="114" priority="3">
      <formula>$R3="Fecha cerrada"</formula>
    </cfRule>
  </conditionalFormatting>
  <conditionalFormatting sqref="M3:M33">
    <cfRule type="expression" dxfId="113" priority="2">
      <formula>OR($W3=1,$W3=7,$Z3=1,$AA3&lt;&gt;_xlfn.SHEET($A$1))</formula>
    </cfRule>
  </conditionalFormatting>
  <conditionalFormatting sqref="E3:E33 G3:G33 I3:I33 K3:K33">
    <cfRule type="expression" dxfId="112" priority="10">
      <formula>$R3="Confirmada"</formula>
    </cfRule>
    <cfRule type="expression" dxfId="111" priority="16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K3:K33 I3:I33 E3:E33 G3:G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A39"/>
  <sheetViews>
    <sheetView showGridLines="0" workbookViewId="0">
      <selection activeCell="K33" sqref="K3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customWidth="1"/>
    <col min="20" max="20" width="6.26953125" style="7" hidden="1" customWidth="1"/>
    <col min="21" max="21" width="7.90625" style="7" hidden="1" customWidth="1"/>
    <col min="22" max="22" width="7.36328125" style="7" hidden="1" customWidth="1"/>
    <col min="23" max="24" width="10.90625" style="7" hidden="1" customWidth="1"/>
    <col min="25" max="25" width="11.1796875" style="7" hidden="1" customWidth="1"/>
    <col min="26" max="27" width="0" style="7" hidden="1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44044</v>
      </c>
      <c r="C3" s="12">
        <f t="shared" ref="C3:C33" ca="1" si="0">DATE(Anualidad,_xlfn.SHEET(B1),A3)</f>
        <v>44044</v>
      </c>
      <c r="D3" s="12"/>
      <c r="E3" s="13">
        <v>0.82291666666666663</v>
      </c>
      <c r="F3" s="14"/>
      <c r="G3" s="13" t="s">
        <v>39</v>
      </c>
      <c r="H3" s="15"/>
      <c r="I3" s="29" t="s">
        <v>38</v>
      </c>
      <c r="J3" s="17"/>
      <c r="K3" s="16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8</v>
      </c>
      <c r="T3" s="22">
        <f ca="1">MINUTE(M3)+(HOUR(M3)*60)</f>
        <v>0</v>
      </c>
      <c r="U3" s="22">
        <f t="shared" ref="U3:V18" ca="1" si="2">MINUTE(N3)+(HOUR(N3)*60)</f>
        <v>0</v>
      </c>
      <c r="V3" s="22">
        <f t="shared" ca="1" si="2"/>
        <v>0</v>
      </c>
      <c r="W3" s="7">
        <f ca="1">WEEKDAY(C3)</f>
        <v>7</v>
      </c>
      <c r="X3" s="19">
        <f t="shared" ref="X3:X33" ca="1" si="3">IF(AND(W3&lt;&gt;7,W3&lt;&gt;1),IF(W3=DiaSemanaIntensiva,HorasIntensiva,HorasOrdinarias),0)</f>
        <v>0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1</v>
      </c>
      <c r="AA3" s="7">
        <f t="shared" ref="AA3:AA33" ca="1" si="6">MONTH(C3)</f>
        <v>8</v>
      </c>
    </row>
    <row r="4" spans="1:27" ht="15" thickBot="1" x14ac:dyDescent="0.4">
      <c r="A4" s="7">
        <v>2</v>
      </c>
      <c r="B4" s="11">
        <f t="shared" ref="B4:B32" ca="1" si="7">C4</f>
        <v>44045</v>
      </c>
      <c r="C4" s="12">
        <f t="shared" ca="1" si="0"/>
        <v>44045</v>
      </c>
      <c r="E4" s="29">
        <v>0.41666666666666669</v>
      </c>
      <c r="F4" s="23"/>
      <c r="G4" s="29">
        <v>0.71875</v>
      </c>
      <c r="H4" s="15"/>
      <c r="I4" s="29">
        <v>0.67708333333333337</v>
      </c>
      <c r="J4" s="24"/>
      <c r="K4" s="29">
        <v>0.79166666666666663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</v>
      </c>
      <c r="O4" s="19">
        <f t="shared" ca="1" si="1"/>
        <v>0</v>
      </c>
      <c r="P4" s="9"/>
      <c r="Q4" s="30"/>
      <c r="R4" s="21" t="s">
        <v>8</v>
      </c>
      <c r="T4" s="22">
        <f t="shared" ref="T4:V33" ca="1" si="10">MINUTE(M4)+(HOUR(M4)*60)</f>
        <v>0</v>
      </c>
      <c r="U4" s="22">
        <f t="shared" ca="1" si="2"/>
        <v>0</v>
      </c>
      <c r="V4" s="22">
        <f t="shared" ca="1" si="2"/>
        <v>0</v>
      </c>
      <c r="W4" s="7">
        <f t="shared" ref="W4:W33" ca="1" si="11">WEEKDAY(C4)</f>
        <v>1</v>
      </c>
      <c r="X4" s="19">
        <f t="shared" ca="1" si="3"/>
        <v>0</v>
      </c>
      <c r="Y4" s="7">
        <f t="shared" ca="1" si="4"/>
        <v>0</v>
      </c>
      <c r="Z4" s="7">
        <f t="shared" ca="1" si="5"/>
        <v>1</v>
      </c>
      <c r="AA4" s="7">
        <f t="shared" ca="1" si="6"/>
        <v>8</v>
      </c>
    </row>
    <row r="5" spans="1:27" ht="15" thickBot="1" x14ac:dyDescent="0.4">
      <c r="A5" s="7">
        <v>3</v>
      </c>
      <c r="B5" s="11">
        <f t="shared" ca="1" si="7"/>
        <v>44046</v>
      </c>
      <c r="C5" s="12">
        <f t="shared" ca="1" si="0"/>
        <v>44046</v>
      </c>
      <c r="D5" s="12"/>
      <c r="E5" s="29">
        <v>0.39583333333333331</v>
      </c>
      <c r="F5" s="23"/>
      <c r="G5" s="29">
        <v>0.58333333333333337</v>
      </c>
      <c r="H5" s="15"/>
      <c r="I5" s="29">
        <v>0.63541666666666663</v>
      </c>
      <c r="J5" s="24"/>
      <c r="K5" s="29">
        <v>0.77083333333333337</v>
      </c>
      <c r="L5" s="9"/>
      <c r="M5" s="18">
        <f t="shared" ca="1" si="8"/>
        <v>0.3229166666666668</v>
      </c>
      <c r="N5" s="18">
        <f t="shared" ca="1" si="9"/>
        <v>0.3229166666666668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465</v>
      </c>
      <c r="U5" s="22">
        <f t="shared" ca="1" si="2"/>
        <v>465</v>
      </c>
      <c r="V5" s="22">
        <f t="shared" ca="1" si="2"/>
        <v>0</v>
      </c>
      <c r="W5" s="7">
        <f t="shared" ca="1" si="11"/>
        <v>2</v>
      </c>
      <c r="X5" s="19">
        <f t="shared" ca="1" si="3"/>
        <v>0.33333333333333331</v>
      </c>
      <c r="Y5" s="7">
        <f t="shared" ca="1" si="4"/>
        <v>0</v>
      </c>
      <c r="Z5" s="7">
        <f t="shared" ca="1" si="5"/>
        <v>0</v>
      </c>
      <c r="AA5" s="7">
        <f t="shared" ca="1" si="6"/>
        <v>8</v>
      </c>
    </row>
    <row r="6" spans="1:27" ht="15" thickBot="1" x14ac:dyDescent="0.4">
      <c r="A6" s="7">
        <v>4</v>
      </c>
      <c r="B6" s="11">
        <f t="shared" ca="1" si="7"/>
        <v>44047</v>
      </c>
      <c r="C6" s="12">
        <f t="shared" ca="1" si="0"/>
        <v>44047</v>
      </c>
      <c r="E6" s="29">
        <v>0.39583333333333331</v>
      </c>
      <c r="F6" s="23"/>
      <c r="G6" s="29">
        <v>0.58333333333333337</v>
      </c>
      <c r="H6" s="15"/>
      <c r="I6" s="29">
        <v>0.63541666666666663</v>
      </c>
      <c r="J6" s="24"/>
      <c r="K6" s="29">
        <v>0.77083333333333337</v>
      </c>
      <c r="L6" s="9"/>
      <c r="M6" s="18">
        <f t="shared" ca="1" si="8"/>
        <v>0.3229166666666668</v>
      </c>
      <c r="N6" s="18">
        <f t="shared" ca="1" si="9"/>
        <v>0.3229166666666668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465</v>
      </c>
      <c r="U6" s="22">
        <f t="shared" ca="1" si="2"/>
        <v>465</v>
      </c>
      <c r="V6" s="22">
        <f t="shared" ca="1" si="2"/>
        <v>0</v>
      </c>
      <c r="W6" s="7">
        <f t="shared" ca="1" si="11"/>
        <v>3</v>
      </c>
      <c r="X6" s="19">
        <f t="shared" ca="1" si="3"/>
        <v>0.33333333333333331</v>
      </c>
      <c r="Y6" s="7">
        <f t="shared" ca="1" si="4"/>
        <v>0</v>
      </c>
      <c r="Z6" s="7">
        <f t="shared" ca="1" si="5"/>
        <v>0</v>
      </c>
      <c r="AA6" s="7">
        <f t="shared" ca="1" si="6"/>
        <v>8</v>
      </c>
    </row>
    <row r="7" spans="1:27" ht="15" thickBot="1" x14ac:dyDescent="0.4">
      <c r="A7" s="7">
        <v>5</v>
      </c>
      <c r="B7" s="11">
        <f t="shared" ca="1" si="7"/>
        <v>44048</v>
      </c>
      <c r="C7" s="12">
        <f t="shared" ca="1" si="0"/>
        <v>44048</v>
      </c>
      <c r="D7" s="12"/>
      <c r="E7" s="16" t="s">
        <v>3</v>
      </c>
      <c r="F7" s="23"/>
      <c r="G7" s="16" t="s">
        <v>4</v>
      </c>
      <c r="H7" s="15"/>
      <c r="I7" s="16" t="s">
        <v>5</v>
      </c>
      <c r="J7" s="24"/>
      <c r="K7" s="16" t="s">
        <v>6</v>
      </c>
      <c r="L7" s="9"/>
      <c r="M7" s="18">
        <f t="shared" ca="1" si="8"/>
        <v>0.35416666666666674</v>
      </c>
      <c r="N7" s="18">
        <f t="shared" ca="1" si="9"/>
        <v>0.33333333333333331</v>
      </c>
      <c r="O7" s="19">
        <f t="shared" ca="1" si="1"/>
        <v>2.0833333333333426E-2</v>
      </c>
      <c r="P7" s="9"/>
      <c r="Q7" s="20"/>
      <c r="R7" s="21" t="s">
        <v>8</v>
      </c>
      <c r="T7" s="22">
        <f t="shared" ca="1" si="10"/>
        <v>510</v>
      </c>
      <c r="U7" s="22">
        <f t="shared" ca="1" si="2"/>
        <v>480</v>
      </c>
      <c r="V7" s="22">
        <f t="shared" ca="1" si="2"/>
        <v>30</v>
      </c>
      <c r="W7" s="7">
        <f t="shared" ca="1" si="11"/>
        <v>4</v>
      </c>
      <c r="X7" s="19">
        <f t="shared" ca="1" si="3"/>
        <v>0.33333333333333331</v>
      </c>
      <c r="Y7" s="7">
        <f t="shared" ca="1" si="4"/>
        <v>0</v>
      </c>
      <c r="Z7" s="7">
        <f t="shared" ca="1" si="5"/>
        <v>0</v>
      </c>
      <c r="AA7" s="7">
        <f t="shared" ca="1" si="6"/>
        <v>8</v>
      </c>
    </row>
    <row r="8" spans="1:27" ht="15" thickBot="1" x14ac:dyDescent="0.4">
      <c r="A8" s="7">
        <v>6</v>
      </c>
      <c r="B8" s="11">
        <f t="shared" ca="1" si="7"/>
        <v>44049</v>
      </c>
      <c r="C8" s="12">
        <f t="shared" ca="1" si="0"/>
        <v>44049</v>
      </c>
      <c r="E8" s="29">
        <v>0.39583333333333331</v>
      </c>
      <c r="F8" s="23"/>
      <c r="G8" s="29">
        <v>0.58333333333333337</v>
      </c>
      <c r="H8" s="15"/>
      <c r="I8" s="29">
        <v>0.63541666666666663</v>
      </c>
      <c r="J8" s="24"/>
      <c r="K8" s="29">
        <v>0.77083333333333337</v>
      </c>
      <c r="L8" s="9"/>
      <c r="M8" s="18">
        <f t="shared" ca="1" si="8"/>
        <v>0.3229166666666668</v>
      </c>
      <c r="N8" s="18">
        <f t="shared" ca="1" si="9"/>
        <v>0.3229166666666668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465</v>
      </c>
      <c r="U8" s="22">
        <f t="shared" ca="1" si="2"/>
        <v>465</v>
      </c>
      <c r="V8" s="22">
        <f t="shared" ca="1" si="2"/>
        <v>0</v>
      </c>
      <c r="W8" s="7">
        <f t="shared" ca="1" si="11"/>
        <v>5</v>
      </c>
      <c r="X8" s="19">
        <f t="shared" ca="1" si="3"/>
        <v>0.33333333333333331</v>
      </c>
      <c r="Y8" s="7">
        <f t="shared" ca="1" si="4"/>
        <v>0</v>
      </c>
      <c r="Z8" s="7">
        <f t="shared" ca="1" si="5"/>
        <v>0</v>
      </c>
      <c r="AA8" s="7">
        <f t="shared" ca="1" si="6"/>
        <v>8</v>
      </c>
    </row>
    <row r="9" spans="1:27" ht="15" thickBot="1" x14ac:dyDescent="0.4">
      <c r="A9" s="7">
        <v>7</v>
      </c>
      <c r="B9" s="11">
        <f t="shared" ca="1" si="7"/>
        <v>44050</v>
      </c>
      <c r="C9" s="12">
        <f t="shared" ca="1" si="0"/>
        <v>44050</v>
      </c>
      <c r="D9" s="12"/>
      <c r="E9" s="29">
        <v>0.39583333333333331</v>
      </c>
      <c r="F9" s="23"/>
      <c r="G9" s="29">
        <v>0.73958333333333337</v>
      </c>
      <c r="H9" s="23"/>
      <c r="I9" s="29">
        <v>0</v>
      </c>
      <c r="J9" s="24"/>
      <c r="K9" s="29">
        <v>0</v>
      </c>
      <c r="L9" s="9"/>
      <c r="M9" s="18">
        <f t="shared" ca="1" si="8"/>
        <v>0.34375000000000006</v>
      </c>
      <c r="N9" s="18">
        <f t="shared" ca="1" si="9"/>
        <v>0.25</v>
      </c>
      <c r="O9" s="19">
        <f t="shared" ca="1" si="1"/>
        <v>9.3750000000000056E-2</v>
      </c>
      <c r="P9" s="9"/>
      <c r="Q9" s="30"/>
      <c r="R9" s="21" t="s">
        <v>15</v>
      </c>
      <c r="T9" s="22">
        <f t="shared" ca="1" si="10"/>
        <v>495</v>
      </c>
      <c r="U9" s="22">
        <f t="shared" ca="1" si="2"/>
        <v>360</v>
      </c>
      <c r="V9" s="22">
        <f t="shared" ca="1" si="2"/>
        <v>135</v>
      </c>
      <c r="W9" s="7">
        <f t="shared" ca="1" si="11"/>
        <v>6</v>
      </c>
      <c r="X9" s="19">
        <f t="shared" ca="1" si="3"/>
        <v>0.25</v>
      </c>
      <c r="Y9" s="7">
        <f t="shared" ca="1" si="4"/>
        <v>0</v>
      </c>
      <c r="Z9" s="7">
        <f t="shared" ca="1" si="5"/>
        <v>0</v>
      </c>
      <c r="AA9" s="7">
        <f t="shared" ca="1" si="6"/>
        <v>8</v>
      </c>
    </row>
    <row r="10" spans="1:27" ht="15" thickBot="1" x14ac:dyDescent="0.4">
      <c r="A10" s="7">
        <v>8</v>
      </c>
      <c r="B10" s="11">
        <f t="shared" ca="1" si="7"/>
        <v>44051</v>
      </c>
      <c r="C10" s="12">
        <f t="shared" ca="1" si="0"/>
        <v>44051</v>
      </c>
      <c r="E10" s="29">
        <v>0.34375</v>
      </c>
      <c r="F10" s="23"/>
      <c r="G10" s="29">
        <v>0.73958333333333337</v>
      </c>
      <c r="H10" s="23"/>
      <c r="I10" s="29">
        <v>0</v>
      </c>
      <c r="J10" s="24"/>
      <c r="K10" s="29">
        <v>0.52083333333333337</v>
      </c>
      <c r="L10" s="9"/>
      <c r="M10" s="18">
        <f t="shared" ca="1" si="8"/>
        <v>0</v>
      </c>
      <c r="N10" s="18">
        <f t="shared" ca="1" si="9"/>
        <v>0</v>
      </c>
      <c r="O10" s="19">
        <f t="shared" ca="1" si="1"/>
        <v>0</v>
      </c>
      <c r="P10" s="9"/>
      <c r="Q10" s="20"/>
      <c r="R10" s="21" t="s">
        <v>15</v>
      </c>
      <c r="T10" s="22">
        <f t="shared" ca="1" si="10"/>
        <v>0</v>
      </c>
      <c r="U10" s="22">
        <f t="shared" ca="1" si="2"/>
        <v>0</v>
      </c>
      <c r="V10" s="22">
        <f t="shared" ca="1" si="2"/>
        <v>0</v>
      </c>
      <c r="W10" s="7">
        <f t="shared" ca="1" si="11"/>
        <v>7</v>
      </c>
      <c r="X10" s="19">
        <f t="shared" ca="1" si="3"/>
        <v>0</v>
      </c>
      <c r="Y10" s="7">
        <f t="shared" ca="1" si="4"/>
        <v>0</v>
      </c>
      <c r="Z10" s="7">
        <f t="shared" ca="1" si="5"/>
        <v>1</v>
      </c>
      <c r="AA10" s="7">
        <f t="shared" ca="1" si="6"/>
        <v>8</v>
      </c>
    </row>
    <row r="11" spans="1:27" ht="15" thickBot="1" x14ac:dyDescent="0.4">
      <c r="A11" s="7">
        <v>9</v>
      </c>
      <c r="B11" s="11">
        <f t="shared" ca="1" si="7"/>
        <v>44052</v>
      </c>
      <c r="C11" s="12">
        <f t="shared" ca="1" si="0"/>
        <v>44052</v>
      </c>
      <c r="D11" s="12"/>
      <c r="E11" s="29">
        <v>0.34375</v>
      </c>
      <c r="F11" s="23"/>
      <c r="G11" s="29">
        <v>0.73958333333333337</v>
      </c>
      <c r="H11" s="15"/>
      <c r="I11" s="29">
        <v>0</v>
      </c>
      <c r="J11" s="24"/>
      <c r="K11" s="29">
        <v>0.52083333333333337</v>
      </c>
      <c r="L11" s="9"/>
      <c r="M11" s="18">
        <f t="shared" ca="1" si="8"/>
        <v>0</v>
      </c>
      <c r="N11" s="18">
        <f t="shared" ca="1" si="9"/>
        <v>0</v>
      </c>
      <c r="O11" s="19">
        <f t="shared" ca="1" si="1"/>
        <v>0</v>
      </c>
      <c r="P11" s="9"/>
      <c r="Q11" s="30"/>
      <c r="R11" s="21" t="s">
        <v>15</v>
      </c>
      <c r="T11" s="22">
        <f t="shared" ca="1" si="10"/>
        <v>0</v>
      </c>
      <c r="U11" s="22">
        <f t="shared" ca="1" si="2"/>
        <v>0</v>
      </c>
      <c r="V11" s="22">
        <f t="shared" ca="1" si="2"/>
        <v>0</v>
      </c>
      <c r="W11" s="7">
        <f t="shared" ca="1" si="11"/>
        <v>1</v>
      </c>
      <c r="X11" s="19">
        <f t="shared" ca="1" si="3"/>
        <v>0</v>
      </c>
      <c r="Y11" s="7">
        <f t="shared" ca="1" si="4"/>
        <v>0</v>
      </c>
      <c r="Z11" s="7">
        <f t="shared" ca="1" si="5"/>
        <v>1</v>
      </c>
      <c r="AA11" s="7">
        <f t="shared" ca="1" si="6"/>
        <v>8</v>
      </c>
    </row>
    <row r="12" spans="1:27" ht="15" thickBot="1" x14ac:dyDescent="0.4">
      <c r="A12" s="7">
        <v>10</v>
      </c>
      <c r="B12" s="11">
        <f t="shared" ca="1" si="7"/>
        <v>44053</v>
      </c>
      <c r="C12" s="12">
        <f t="shared" ca="1" si="0"/>
        <v>44053</v>
      </c>
      <c r="E12" s="29">
        <v>0.39583333333333331</v>
      </c>
      <c r="F12" s="23"/>
      <c r="G12" s="29">
        <v>0.58333333333333337</v>
      </c>
      <c r="H12" s="15"/>
      <c r="I12" s="29">
        <v>0.63541666666666663</v>
      </c>
      <c r="J12" s="24"/>
      <c r="K12" s="29">
        <v>0.77083333333333337</v>
      </c>
      <c r="L12" s="9"/>
      <c r="M12" s="18">
        <f t="shared" ca="1" si="8"/>
        <v>0.3229166666666668</v>
      </c>
      <c r="N12" s="18">
        <f t="shared" ca="1" si="9"/>
        <v>0.3229166666666668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465</v>
      </c>
      <c r="U12" s="22">
        <f t="shared" ca="1" si="2"/>
        <v>465</v>
      </c>
      <c r="V12" s="22">
        <f t="shared" ca="1" si="2"/>
        <v>0</v>
      </c>
      <c r="W12" s="7">
        <f t="shared" ca="1" si="11"/>
        <v>2</v>
      </c>
      <c r="X12" s="19">
        <f t="shared" ca="1" si="3"/>
        <v>0.33333333333333331</v>
      </c>
      <c r="Y12" s="7">
        <f t="shared" ca="1" si="4"/>
        <v>0</v>
      </c>
      <c r="Z12" s="7">
        <f t="shared" ca="1" si="5"/>
        <v>0</v>
      </c>
      <c r="AA12" s="7">
        <f t="shared" ca="1" si="6"/>
        <v>8</v>
      </c>
    </row>
    <row r="13" spans="1:27" ht="15" thickBot="1" x14ac:dyDescent="0.4">
      <c r="A13" s="7">
        <v>11</v>
      </c>
      <c r="B13" s="11">
        <f t="shared" ca="1" si="7"/>
        <v>44054</v>
      </c>
      <c r="C13" s="12">
        <f t="shared" ca="1" si="0"/>
        <v>44054</v>
      </c>
      <c r="D13" s="12"/>
      <c r="E13" s="16" t="s">
        <v>3</v>
      </c>
      <c r="F13" s="23"/>
      <c r="G13" s="16" t="s">
        <v>4</v>
      </c>
      <c r="H13" s="15"/>
      <c r="I13" s="16" t="s">
        <v>5</v>
      </c>
      <c r="J13" s="24"/>
      <c r="K13" s="16" t="s">
        <v>6</v>
      </c>
      <c r="L13" s="9"/>
      <c r="M13" s="18">
        <f t="shared" ca="1" si="8"/>
        <v>0.35416666666666674</v>
      </c>
      <c r="N13" s="18">
        <f t="shared" ca="1" si="9"/>
        <v>0.33333333333333331</v>
      </c>
      <c r="O13" s="19">
        <f t="shared" ca="1" si="1"/>
        <v>2.0833333333333426E-2</v>
      </c>
      <c r="P13" s="9"/>
      <c r="Q13" s="20"/>
      <c r="R13" s="21" t="s">
        <v>8</v>
      </c>
      <c r="T13" s="22">
        <f t="shared" ca="1" si="10"/>
        <v>510</v>
      </c>
      <c r="U13" s="22">
        <f t="shared" ca="1" si="2"/>
        <v>480</v>
      </c>
      <c r="V13" s="22">
        <f t="shared" ca="1" si="2"/>
        <v>30</v>
      </c>
      <c r="W13" s="7">
        <f t="shared" ca="1" si="11"/>
        <v>3</v>
      </c>
      <c r="X13" s="19">
        <f t="shared" ca="1" si="3"/>
        <v>0.33333333333333331</v>
      </c>
      <c r="Y13" s="7">
        <f t="shared" ca="1" si="4"/>
        <v>0</v>
      </c>
      <c r="Z13" s="7">
        <f t="shared" ca="1" si="5"/>
        <v>0</v>
      </c>
      <c r="AA13" s="7">
        <f t="shared" ca="1" si="6"/>
        <v>8</v>
      </c>
    </row>
    <row r="14" spans="1:27" ht="15" thickBot="1" x14ac:dyDescent="0.4">
      <c r="A14" s="7">
        <v>12</v>
      </c>
      <c r="B14" s="11">
        <f t="shared" ca="1" si="7"/>
        <v>44055</v>
      </c>
      <c r="C14" s="12">
        <f t="shared" ca="1" si="0"/>
        <v>44055</v>
      </c>
      <c r="E14" s="16" t="s">
        <v>3</v>
      </c>
      <c r="F14" s="23"/>
      <c r="G14" s="16" t="s">
        <v>4</v>
      </c>
      <c r="H14" s="15"/>
      <c r="I14" s="16" t="s">
        <v>5</v>
      </c>
      <c r="J14" s="24"/>
      <c r="K14" s="16" t="s">
        <v>6</v>
      </c>
      <c r="L14" s="9"/>
      <c r="M14" s="18">
        <f t="shared" ca="1" si="8"/>
        <v>0.35416666666666674</v>
      </c>
      <c r="N14" s="18">
        <f t="shared" ca="1" si="9"/>
        <v>0.33333333333333331</v>
      </c>
      <c r="O14" s="19">
        <f t="shared" ca="1" si="1"/>
        <v>2.0833333333333426E-2</v>
      </c>
      <c r="P14" s="9"/>
      <c r="Q14" s="20"/>
      <c r="R14" s="21" t="s">
        <v>8</v>
      </c>
      <c r="T14" s="22">
        <f t="shared" ca="1" si="10"/>
        <v>510</v>
      </c>
      <c r="U14" s="22">
        <f t="shared" ca="1" si="2"/>
        <v>480</v>
      </c>
      <c r="V14" s="22">
        <f t="shared" ca="1" si="2"/>
        <v>30</v>
      </c>
      <c r="W14" s="7">
        <f t="shared" ca="1" si="11"/>
        <v>4</v>
      </c>
      <c r="X14" s="19">
        <f t="shared" ca="1" si="3"/>
        <v>0.33333333333333331</v>
      </c>
      <c r="Y14" s="7">
        <f t="shared" ca="1" si="4"/>
        <v>0</v>
      </c>
      <c r="Z14" s="7">
        <f t="shared" ca="1" si="5"/>
        <v>0</v>
      </c>
      <c r="AA14" s="7">
        <f t="shared" ca="1" si="6"/>
        <v>8</v>
      </c>
    </row>
    <row r="15" spans="1:27" ht="15" thickBot="1" x14ac:dyDescent="0.4">
      <c r="A15" s="7">
        <v>13</v>
      </c>
      <c r="B15" s="11">
        <f t="shared" ca="1" si="7"/>
        <v>44056</v>
      </c>
      <c r="C15" s="12">
        <f t="shared" ca="1" si="0"/>
        <v>44056</v>
      </c>
      <c r="D15" s="12"/>
      <c r="E15" s="29">
        <v>0.39583333333333331</v>
      </c>
      <c r="F15" s="23"/>
      <c r="G15" s="29">
        <v>0.58333333333333337</v>
      </c>
      <c r="H15" s="15"/>
      <c r="I15" s="29">
        <v>0.63541666666666663</v>
      </c>
      <c r="J15" s="24"/>
      <c r="K15" s="29">
        <v>0.77083333333333337</v>
      </c>
      <c r="L15" s="9"/>
      <c r="M15" s="32">
        <f t="shared" ca="1" si="8"/>
        <v>0.3229166666666668</v>
      </c>
      <c r="N15" s="32">
        <f t="shared" ca="1" si="9"/>
        <v>0.3229166666666668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465</v>
      </c>
      <c r="U15" s="22">
        <f t="shared" ca="1" si="2"/>
        <v>465</v>
      </c>
      <c r="V15" s="22">
        <f t="shared" ca="1" si="2"/>
        <v>0</v>
      </c>
      <c r="W15" s="7">
        <f t="shared" ca="1" si="11"/>
        <v>5</v>
      </c>
      <c r="X15" s="19">
        <f t="shared" ca="1" si="3"/>
        <v>0.33333333333333331</v>
      </c>
      <c r="Y15" s="7">
        <f t="shared" ca="1" si="4"/>
        <v>0</v>
      </c>
      <c r="Z15" s="7">
        <f t="shared" ca="1" si="5"/>
        <v>0</v>
      </c>
      <c r="AA15" s="7">
        <f t="shared" ca="1" si="6"/>
        <v>8</v>
      </c>
    </row>
    <row r="16" spans="1:27" ht="15" thickBot="1" x14ac:dyDescent="0.4">
      <c r="A16" s="7">
        <v>14</v>
      </c>
      <c r="B16" s="11">
        <f t="shared" ca="1" si="7"/>
        <v>44057</v>
      </c>
      <c r="C16" s="12">
        <f t="shared" ca="1" si="0"/>
        <v>44057</v>
      </c>
      <c r="E16" s="29">
        <v>0.39583333333333331</v>
      </c>
      <c r="F16" s="23"/>
      <c r="G16" s="29">
        <v>0.73958333333333337</v>
      </c>
      <c r="H16" s="15"/>
      <c r="I16" s="29">
        <v>0</v>
      </c>
      <c r="J16" s="24"/>
      <c r="K16" s="29">
        <v>0</v>
      </c>
      <c r="L16" s="9"/>
      <c r="M16" s="18">
        <f t="shared" ca="1" si="8"/>
        <v>0.34375000000000006</v>
      </c>
      <c r="N16" s="18">
        <f t="shared" ca="1" si="9"/>
        <v>0.25</v>
      </c>
      <c r="O16" s="19">
        <f t="shared" ca="1" si="1"/>
        <v>9.3750000000000056E-2</v>
      </c>
      <c r="P16" s="9"/>
      <c r="Q16" s="30"/>
      <c r="R16" s="21" t="s">
        <v>15</v>
      </c>
      <c r="T16" s="22">
        <f t="shared" ca="1" si="10"/>
        <v>495</v>
      </c>
      <c r="U16" s="22">
        <f t="shared" ca="1" si="2"/>
        <v>360</v>
      </c>
      <c r="V16" s="22">
        <f t="shared" ca="1" si="2"/>
        <v>135</v>
      </c>
      <c r="W16" s="7">
        <f t="shared" ca="1" si="11"/>
        <v>6</v>
      </c>
      <c r="X16" s="19">
        <f t="shared" ca="1" si="3"/>
        <v>0.25</v>
      </c>
      <c r="Y16" s="7">
        <f t="shared" ca="1" si="4"/>
        <v>0</v>
      </c>
      <c r="Z16" s="7">
        <f t="shared" ca="1" si="5"/>
        <v>0</v>
      </c>
      <c r="AA16" s="7">
        <f t="shared" ca="1" si="6"/>
        <v>8</v>
      </c>
    </row>
    <row r="17" spans="1:27" ht="15" thickBot="1" x14ac:dyDescent="0.4">
      <c r="A17" s="7">
        <v>15</v>
      </c>
      <c r="B17" s="11">
        <f t="shared" ca="1" si="7"/>
        <v>44058</v>
      </c>
      <c r="C17" s="12">
        <f t="shared" ca="1" si="0"/>
        <v>44058</v>
      </c>
      <c r="D17" s="12"/>
      <c r="E17" s="29">
        <v>0.34375</v>
      </c>
      <c r="F17" s="23"/>
      <c r="G17" s="29">
        <v>0.73958333333333337</v>
      </c>
      <c r="H17" s="23"/>
      <c r="I17" s="29">
        <v>0</v>
      </c>
      <c r="J17" s="24"/>
      <c r="K17" s="29">
        <v>0.52083333333333337</v>
      </c>
      <c r="L17" s="9"/>
      <c r="M17" s="18">
        <f t="shared" ca="1" si="8"/>
        <v>0</v>
      </c>
      <c r="N17" s="18">
        <f t="shared" ca="1" si="9"/>
        <v>0</v>
      </c>
      <c r="O17" s="19">
        <f t="shared" ca="1" si="1"/>
        <v>0</v>
      </c>
      <c r="P17" s="9"/>
      <c r="Q17" s="30"/>
      <c r="R17" s="21" t="s">
        <v>15</v>
      </c>
      <c r="T17" s="22">
        <f t="shared" ca="1" si="10"/>
        <v>0</v>
      </c>
      <c r="U17" s="22">
        <f t="shared" ca="1" si="2"/>
        <v>0</v>
      </c>
      <c r="V17" s="22">
        <f t="shared" ca="1" si="2"/>
        <v>0</v>
      </c>
      <c r="W17" s="7">
        <f t="shared" ca="1" si="11"/>
        <v>7</v>
      </c>
      <c r="X17" s="19">
        <f t="shared" ca="1" si="3"/>
        <v>0</v>
      </c>
      <c r="Y17" s="7">
        <f t="shared" ca="1" si="4"/>
        <v>0</v>
      </c>
      <c r="Z17" s="7">
        <f t="shared" ca="1" si="5"/>
        <v>1</v>
      </c>
      <c r="AA17" s="7">
        <f t="shared" ca="1" si="6"/>
        <v>8</v>
      </c>
    </row>
    <row r="18" spans="1:27" ht="15" thickBot="1" x14ac:dyDescent="0.4">
      <c r="A18" s="7">
        <v>16</v>
      </c>
      <c r="B18" s="11">
        <f t="shared" ca="1" si="7"/>
        <v>44059</v>
      </c>
      <c r="C18" s="12">
        <f t="shared" ca="1" si="0"/>
        <v>44059</v>
      </c>
      <c r="E18" s="29">
        <v>0.65625</v>
      </c>
      <c r="F18" s="23"/>
      <c r="G18" s="29">
        <v>0.73958333333333337</v>
      </c>
      <c r="H18" s="23"/>
      <c r="I18" s="29">
        <v>0</v>
      </c>
      <c r="J18" s="24"/>
      <c r="K18" s="29">
        <v>0</v>
      </c>
      <c r="L18" s="9"/>
      <c r="M18" s="18">
        <f t="shared" ca="1" si="8"/>
        <v>0</v>
      </c>
      <c r="N18" s="18">
        <f t="shared" ca="1" si="9"/>
        <v>0</v>
      </c>
      <c r="O18" s="19">
        <f t="shared" ca="1" si="1"/>
        <v>0</v>
      </c>
      <c r="P18" s="9"/>
      <c r="Q18" s="30"/>
      <c r="R18" s="21" t="s">
        <v>8</v>
      </c>
      <c r="T18" s="22">
        <f t="shared" ca="1" si="10"/>
        <v>0</v>
      </c>
      <c r="U18" s="22">
        <f t="shared" ca="1" si="2"/>
        <v>0</v>
      </c>
      <c r="V18" s="22">
        <f t="shared" ca="1" si="2"/>
        <v>0</v>
      </c>
      <c r="W18" s="7">
        <f t="shared" ca="1" si="11"/>
        <v>1</v>
      </c>
      <c r="X18" s="19">
        <f t="shared" ca="1" si="3"/>
        <v>0</v>
      </c>
      <c r="Y18" s="7">
        <f t="shared" ca="1" si="4"/>
        <v>0</v>
      </c>
      <c r="Z18" s="7">
        <f t="shared" ca="1" si="5"/>
        <v>1</v>
      </c>
      <c r="AA18" s="7">
        <f t="shared" ca="1" si="6"/>
        <v>8</v>
      </c>
    </row>
    <row r="19" spans="1:27" ht="15" thickBot="1" x14ac:dyDescent="0.4">
      <c r="A19" s="7">
        <v>17</v>
      </c>
      <c r="B19" s="11">
        <f t="shared" ca="1" si="7"/>
        <v>44060</v>
      </c>
      <c r="C19" s="12">
        <f t="shared" ca="1" si="0"/>
        <v>44060</v>
      </c>
      <c r="D19" s="12"/>
      <c r="E19" s="29">
        <v>0.39583333333333331</v>
      </c>
      <c r="F19" s="23"/>
      <c r="G19" s="29">
        <v>0.58333333333333337</v>
      </c>
      <c r="H19" s="15"/>
      <c r="I19" s="29">
        <v>0.63541666666666663</v>
      </c>
      <c r="J19" s="24"/>
      <c r="K19" s="29">
        <v>0.77083333333333337</v>
      </c>
      <c r="L19" s="9"/>
      <c r="M19" s="18">
        <f t="shared" ca="1" si="8"/>
        <v>0.3229166666666668</v>
      </c>
      <c r="N19" s="18">
        <f t="shared" ca="1" si="9"/>
        <v>0.3229166666666668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465</v>
      </c>
      <c r="U19" s="22">
        <f t="shared" ca="1" si="10"/>
        <v>465</v>
      </c>
      <c r="V19" s="22">
        <f t="shared" ca="1" si="10"/>
        <v>0</v>
      </c>
      <c r="W19" s="7">
        <f t="shared" ca="1" si="11"/>
        <v>2</v>
      </c>
      <c r="X19" s="19">
        <f t="shared" ca="1" si="3"/>
        <v>0.33333333333333331</v>
      </c>
      <c r="Y19" s="7">
        <f t="shared" ca="1" si="4"/>
        <v>0</v>
      </c>
      <c r="Z19" s="7">
        <f t="shared" ca="1" si="5"/>
        <v>0</v>
      </c>
      <c r="AA19" s="7">
        <f t="shared" ca="1" si="6"/>
        <v>8</v>
      </c>
    </row>
    <row r="20" spans="1:27" ht="15" thickBot="1" x14ac:dyDescent="0.4">
      <c r="A20" s="7">
        <v>18</v>
      </c>
      <c r="B20" s="11">
        <f t="shared" ca="1" si="7"/>
        <v>44061</v>
      </c>
      <c r="C20" s="12">
        <f t="shared" ca="1" si="0"/>
        <v>44061</v>
      </c>
      <c r="E20" s="16" t="s">
        <v>3</v>
      </c>
      <c r="F20" s="23"/>
      <c r="G20" s="16" t="s">
        <v>4</v>
      </c>
      <c r="H20" s="15"/>
      <c r="I20" s="16" t="s">
        <v>30</v>
      </c>
      <c r="J20" s="24"/>
      <c r="K20" s="16" t="s">
        <v>34</v>
      </c>
      <c r="L20" s="9"/>
      <c r="M20" s="18">
        <f t="shared" ca="1" si="8"/>
        <v>0.36458333333333337</v>
      </c>
      <c r="N20" s="18">
        <f t="shared" ca="1" si="9"/>
        <v>0.33333333333333331</v>
      </c>
      <c r="O20" s="19">
        <f t="shared" ca="1" si="1"/>
        <v>3.1250000000000056E-2</v>
      </c>
      <c r="P20" s="9"/>
      <c r="Q20" s="20"/>
      <c r="R20" s="21" t="s">
        <v>8</v>
      </c>
      <c r="T20" s="22">
        <f t="shared" ca="1" si="10"/>
        <v>525</v>
      </c>
      <c r="U20" s="22">
        <f t="shared" ca="1" si="10"/>
        <v>480</v>
      </c>
      <c r="V20" s="22">
        <f t="shared" ca="1" si="10"/>
        <v>45</v>
      </c>
      <c r="W20" s="7">
        <f t="shared" ca="1" si="11"/>
        <v>3</v>
      </c>
      <c r="X20" s="19">
        <f t="shared" ca="1" si="3"/>
        <v>0.33333333333333331</v>
      </c>
      <c r="Y20" s="7">
        <f t="shared" ca="1" si="4"/>
        <v>0</v>
      </c>
      <c r="Z20" s="7">
        <f t="shared" ca="1" si="5"/>
        <v>0</v>
      </c>
      <c r="AA20" s="7">
        <f t="shared" ca="1" si="6"/>
        <v>8</v>
      </c>
    </row>
    <row r="21" spans="1:27" ht="15" thickBot="1" x14ac:dyDescent="0.4">
      <c r="A21" s="7">
        <v>19</v>
      </c>
      <c r="B21" s="11">
        <f t="shared" ca="1" si="7"/>
        <v>44062</v>
      </c>
      <c r="C21" s="12">
        <f t="shared" ca="1" si="0"/>
        <v>44062</v>
      </c>
      <c r="D21" s="12"/>
      <c r="E21" s="29">
        <v>0.39583333333333331</v>
      </c>
      <c r="F21" s="23"/>
      <c r="G21" s="29">
        <v>0.58333333333333337</v>
      </c>
      <c r="H21" s="15"/>
      <c r="I21" s="29">
        <v>0.63541666666666663</v>
      </c>
      <c r="J21" s="24"/>
      <c r="K21" s="29">
        <v>0.77083333333333337</v>
      </c>
      <c r="L21" s="9"/>
      <c r="M21" s="18">
        <f t="shared" ca="1" si="8"/>
        <v>0.3229166666666668</v>
      </c>
      <c r="N21" s="32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0.3229166666666668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465</v>
      </c>
      <c r="U21" s="22">
        <f t="shared" ca="1" si="10"/>
        <v>465</v>
      </c>
      <c r="V21" s="22">
        <f t="shared" ca="1" si="10"/>
        <v>0</v>
      </c>
      <c r="W21" s="7">
        <f t="shared" ca="1" si="11"/>
        <v>4</v>
      </c>
      <c r="X21" s="19">
        <f t="shared" ca="1" si="3"/>
        <v>0.33333333333333331</v>
      </c>
      <c r="Y21" s="7">
        <f t="shared" ca="1" si="4"/>
        <v>0</v>
      </c>
      <c r="Z21" s="7">
        <f t="shared" ca="1" si="5"/>
        <v>0</v>
      </c>
      <c r="AA21" s="7">
        <f t="shared" ca="1" si="6"/>
        <v>8</v>
      </c>
    </row>
    <row r="22" spans="1:27" ht="15" thickBot="1" x14ac:dyDescent="0.4">
      <c r="A22" s="7">
        <v>20</v>
      </c>
      <c r="B22" s="11">
        <f t="shared" ca="1" si="7"/>
        <v>44063</v>
      </c>
      <c r="C22" s="12">
        <f t="shared" ca="1" si="0"/>
        <v>44063</v>
      </c>
      <c r="E22" s="29">
        <v>0.39583333333333331</v>
      </c>
      <c r="F22" s="23"/>
      <c r="G22" s="29">
        <v>0.58333333333333337</v>
      </c>
      <c r="H22" s="15"/>
      <c r="I22" s="29">
        <v>0.63541666666666663</v>
      </c>
      <c r="J22" s="24"/>
      <c r="K22" s="29">
        <v>0.77083333333333337</v>
      </c>
      <c r="L22" s="9"/>
      <c r="M22" s="18">
        <f t="shared" ca="1" si="8"/>
        <v>0.3229166666666668</v>
      </c>
      <c r="N22" s="18">
        <f t="shared" ca="1" si="9"/>
        <v>0.3229166666666668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465</v>
      </c>
      <c r="U22" s="22">
        <f t="shared" ca="1" si="10"/>
        <v>465</v>
      </c>
      <c r="V22" s="22">
        <f t="shared" ca="1" si="10"/>
        <v>0</v>
      </c>
      <c r="W22" s="7">
        <f t="shared" ca="1" si="11"/>
        <v>5</v>
      </c>
      <c r="X22" s="19">
        <f t="shared" ca="1" si="3"/>
        <v>0.33333333333333331</v>
      </c>
      <c r="Y22" s="7">
        <f t="shared" ca="1" si="4"/>
        <v>0</v>
      </c>
      <c r="Z22" s="7">
        <f t="shared" ca="1" si="5"/>
        <v>0</v>
      </c>
      <c r="AA22" s="7">
        <f t="shared" ca="1" si="6"/>
        <v>8</v>
      </c>
    </row>
    <row r="23" spans="1:27" ht="15" thickBot="1" x14ac:dyDescent="0.4">
      <c r="A23" s="7">
        <v>21</v>
      </c>
      <c r="B23" s="11">
        <f t="shared" ca="1" si="7"/>
        <v>44064</v>
      </c>
      <c r="C23" s="12">
        <f t="shared" ca="1" si="0"/>
        <v>44064</v>
      </c>
      <c r="D23" s="12"/>
      <c r="E23" s="29">
        <v>0.39583333333333331</v>
      </c>
      <c r="F23" s="23"/>
      <c r="G23" s="29" t="s">
        <v>43</v>
      </c>
      <c r="H23" s="15"/>
      <c r="I23" s="29">
        <v>0</v>
      </c>
      <c r="J23" s="24"/>
      <c r="K23" s="29">
        <v>0</v>
      </c>
      <c r="L23" s="9"/>
      <c r="M23" s="18">
        <f t="shared" ca="1" si="8"/>
        <v>0.38541666666666669</v>
      </c>
      <c r="N23" s="18">
        <f t="shared" ca="1" si="9"/>
        <v>0.25</v>
      </c>
      <c r="O23" s="19">
        <f t="shared" ca="1" si="1"/>
        <v>0.13541666666666669</v>
      </c>
      <c r="P23" s="9"/>
      <c r="Q23" s="30"/>
      <c r="R23" s="21" t="s">
        <v>15</v>
      </c>
      <c r="T23" s="22">
        <f t="shared" ca="1" si="10"/>
        <v>555</v>
      </c>
      <c r="U23" s="22">
        <f t="shared" ca="1" si="10"/>
        <v>360</v>
      </c>
      <c r="V23" s="22">
        <f t="shared" ca="1" si="10"/>
        <v>195</v>
      </c>
      <c r="W23" s="7">
        <f t="shared" ca="1" si="11"/>
        <v>6</v>
      </c>
      <c r="X23" s="19">
        <f t="shared" ca="1" si="3"/>
        <v>0.25</v>
      </c>
      <c r="Y23" s="7">
        <f t="shared" ca="1" si="4"/>
        <v>0</v>
      </c>
      <c r="Z23" s="7">
        <f t="shared" ca="1" si="5"/>
        <v>0</v>
      </c>
      <c r="AA23" s="7">
        <f t="shared" ca="1" si="6"/>
        <v>8</v>
      </c>
    </row>
    <row r="24" spans="1:27" ht="15" thickBot="1" x14ac:dyDescent="0.4">
      <c r="A24" s="7">
        <v>22</v>
      </c>
      <c r="B24" s="11">
        <f t="shared" ca="1" si="7"/>
        <v>44065</v>
      </c>
      <c r="C24" s="12">
        <f t="shared" ca="1" si="0"/>
        <v>44065</v>
      </c>
      <c r="E24" s="29">
        <v>0.34375</v>
      </c>
      <c r="F24" s="23"/>
      <c r="G24" s="29">
        <v>0.73958333333333337</v>
      </c>
      <c r="H24" s="15"/>
      <c r="I24" s="29">
        <v>0</v>
      </c>
      <c r="J24" s="24"/>
      <c r="K24" s="29">
        <v>0.52083333333333337</v>
      </c>
      <c r="L24" s="9"/>
      <c r="M24" s="18">
        <f t="shared" ca="1" si="8"/>
        <v>0</v>
      </c>
      <c r="N24" s="18">
        <f t="shared" ca="1" si="9"/>
        <v>0</v>
      </c>
      <c r="O24" s="19">
        <f t="shared" ca="1" si="1"/>
        <v>0</v>
      </c>
      <c r="P24" s="9"/>
      <c r="Q24" s="30"/>
      <c r="R24" s="21" t="s">
        <v>15</v>
      </c>
      <c r="T24" s="22">
        <f t="shared" ca="1" si="10"/>
        <v>0</v>
      </c>
      <c r="U24" s="22">
        <f t="shared" ca="1" si="10"/>
        <v>0</v>
      </c>
      <c r="V24" s="22">
        <f t="shared" ca="1" si="10"/>
        <v>0</v>
      </c>
      <c r="W24" s="7">
        <f t="shared" ca="1" si="11"/>
        <v>7</v>
      </c>
      <c r="X24" s="19">
        <f t="shared" ca="1" si="3"/>
        <v>0</v>
      </c>
      <c r="Y24" s="7">
        <f t="shared" ca="1" si="4"/>
        <v>0</v>
      </c>
      <c r="Z24" s="7">
        <f t="shared" ca="1" si="5"/>
        <v>1</v>
      </c>
      <c r="AA24" s="7">
        <f t="shared" ca="1" si="6"/>
        <v>8</v>
      </c>
    </row>
    <row r="25" spans="1:27" ht="15" thickBot="1" x14ac:dyDescent="0.4">
      <c r="A25" s="7">
        <v>23</v>
      </c>
      <c r="B25" s="11">
        <f t="shared" ca="1" si="7"/>
        <v>44066</v>
      </c>
      <c r="C25" s="12">
        <f t="shared" ca="1" si="0"/>
        <v>44066</v>
      </c>
      <c r="D25" s="12"/>
      <c r="E25" s="16">
        <v>0.34375</v>
      </c>
      <c r="F25" s="23"/>
      <c r="G25" s="29">
        <v>0.73958333333333337</v>
      </c>
      <c r="H25" s="23"/>
      <c r="I25" s="29">
        <v>0</v>
      </c>
      <c r="J25" s="24"/>
      <c r="K25" s="29">
        <v>0.52083333333333337</v>
      </c>
      <c r="L25" s="9"/>
      <c r="M25" s="18">
        <f t="shared" ca="1" si="8"/>
        <v>0</v>
      </c>
      <c r="N25" s="18">
        <f t="shared" ca="1" si="9"/>
        <v>0</v>
      </c>
      <c r="O25" s="19">
        <f t="shared" ca="1" si="1"/>
        <v>0</v>
      </c>
      <c r="P25" s="9"/>
      <c r="Q25" s="30"/>
      <c r="R25" s="21" t="s">
        <v>15</v>
      </c>
      <c r="T25" s="22">
        <f t="shared" ca="1" si="10"/>
        <v>0</v>
      </c>
      <c r="U25" s="22">
        <f t="shared" ca="1" si="10"/>
        <v>0</v>
      </c>
      <c r="V25" s="22">
        <f t="shared" ca="1" si="10"/>
        <v>0</v>
      </c>
      <c r="W25" s="7">
        <f t="shared" ca="1" si="11"/>
        <v>1</v>
      </c>
      <c r="X25" s="19">
        <f t="shared" ca="1" si="3"/>
        <v>0</v>
      </c>
      <c r="Y25" s="7">
        <f t="shared" ca="1" si="4"/>
        <v>0</v>
      </c>
      <c r="Z25" s="7">
        <f t="shared" ca="1" si="5"/>
        <v>1</v>
      </c>
      <c r="AA25" s="7">
        <f t="shared" ca="1" si="6"/>
        <v>8</v>
      </c>
    </row>
    <row r="26" spans="1:27" ht="15" thickBot="1" x14ac:dyDescent="0.4">
      <c r="A26" s="7">
        <v>24</v>
      </c>
      <c r="B26" s="11">
        <f t="shared" ca="1" si="7"/>
        <v>44067</v>
      </c>
      <c r="C26" s="12">
        <f t="shared" ca="1" si="0"/>
        <v>44067</v>
      </c>
      <c r="E26" s="29">
        <v>0.39583333333333331</v>
      </c>
      <c r="F26" s="23"/>
      <c r="G26" s="29">
        <v>0.58333333333333337</v>
      </c>
      <c r="H26" s="23"/>
      <c r="I26" s="29">
        <v>0.63541666666666663</v>
      </c>
      <c r="J26" s="24"/>
      <c r="K26" s="29">
        <v>0.77083333333333337</v>
      </c>
      <c r="L26" s="9"/>
      <c r="M26" s="18">
        <f t="shared" ca="1" si="8"/>
        <v>0.3229166666666668</v>
      </c>
      <c r="N26" s="18">
        <f t="shared" ca="1" si="9"/>
        <v>0.3229166666666668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465</v>
      </c>
      <c r="U26" s="22">
        <f t="shared" ca="1" si="10"/>
        <v>465</v>
      </c>
      <c r="V26" s="22">
        <f t="shared" ca="1" si="10"/>
        <v>0</v>
      </c>
      <c r="W26" s="7">
        <f t="shared" ca="1" si="11"/>
        <v>2</v>
      </c>
      <c r="X26" s="19">
        <f t="shared" ca="1" si="3"/>
        <v>0.33333333333333331</v>
      </c>
      <c r="Y26" s="7">
        <f t="shared" ca="1" si="4"/>
        <v>0</v>
      </c>
      <c r="Z26" s="7">
        <f t="shared" ca="1" si="5"/>
        <v>0</v>
      </c>
      <c r="AA26" s="7">
        <f t="shared" ca="1" si="6"/>
        <v>8</v>
      </c>
    </row>
    <row r="27" spans="1:27" ht="15" thickBot="1" x14ac:dyDescent="0.4">
      <c r="A27" s="7">
        <v>25</v>
      </c>
      <c r="B27" s="11">
        <f t="shared" ca="1" si="7"/>
        <v>44068</v>
      </c>
      <c r="C27" s="12">
        <f t="shared" ca="1" si="0"/>
        <v>44068</v>
      </c>
      <c r="D27" s="12"/>
      <c r="E27" s="16" t="s">
        <v>3</v>
      </c>
      <c r="F27" s="23"/>
      <c r="G27" s="16" t="s">
        <v>4</v>
      </c>
      <c r="H27" s="15"/>
      <c r="I27" s="16" t="s">
        <v>32</v>
      </c>
      <c r="J27" s="24"/>
      <c r="K27" s="29" t="s">
        <v>36</v>
      </c>
      <c r="L27" s="9"/>
      <c r="M27" s="18">
        <f t="shared" ca="1" si="8"/>
        <v>0.36458333333333337</v>
      </c>
      <c r="N27" s="18">
        <f t="shared" ca="1" si="9"/>
        <v>0.33333333333333331</v>
      </c>
      <c r="O27" s="19">
        <f t="shared" ca="1" si="1"/>
        <v>3.1250000000000056E-2</v>
      </c>
      <c r="P27" s="9"/>
      <c r="Q27" s="20"/>
      <c r="R27" s="21" t="s">
        <v>8</v>
      </c>
      <c r="T27" s="22">
        <f t="shared" ca="1" si="10"/>
        <v>525</v>
      </c>
      <c r="U27" s="22">
        <f t="shared" ca="1" si="10"/>
        <v>480</v>
      </c>
      <c r="V27" s="22">
        <f t="shared" ca="1" si="10"/>
        <v>45</v>
      </c>
      <c r="W27" s="7">
        <f t="shared" ca="1" si="11"/>
        <v>3</v>
      </c>
      <c r="X27" s="19">
        <f t="shared" ca="1" si="3"/>
        <v>0.33333333333333331</v>
      </c>
      <c r="Y27" s="7">
        <f t="shared" ca="1" si="4"/>
        <v>0</v>
      </c>
      <c r="Z27" s="7">
        <f t="shared" ca="1" si="5"/>
        <v>0</v>
      </c>
      <c r="AA27" s="7">
        <f t="shared" ca="1" si="6"/>
        <v>8</v>
      </c>
    </row>
    <row r="28" spans="1:27" ht="15" thickBot="1" x14ac:dyDescent="0.4">
      <c r="A28" s="7">
        <v>26</v>
      </c>
      <c r="B28" s="11">
        <f t="shared" ca="1" si="7"/>
        <v>44069</v>
      </c>
      <c r="C28" s="12">
        <f t="shared" ca="1" si="0"/>
        <v>44069</v>
      </c>
      <c r="E28" s="16" t="s">
        <v>3</v>
      </c>
      <c r="F28" s="23"/>
      <c r="G28" s="16" t="s">
        <v>4</v>
      </c>
      <c r="H28" s="15"/>
      <c r="I28" s="16" t="s">
        <v>33</v>
      </c>
      <c r="J28" s="24"/>
      <c r="K28" s="29" t="s">
        <v>37</v>
      </c>
      <c r="L28" s="9"/>
      <c r="M28" s="18">
        <f t="shared" ca="1" si="8"/>
        <v>0.36458333333333337</v>
      </c>
      <c r="N28" s="18">
        <f t="shared" ca="1" si="9"/>
        <v>0.33333333333333331</v>
      </c>
      <c r="O28" s="19">
        <f t="shared" ca="1" si="1"/>
        <v>3.1250000000000056E-2</v>
      </c>
      <c r="P28" s="9"/>
      <c r="Q28" s="20"/>
      <c r="R28" s="21" t="s">
        <v>8</v>
      </c>
      <c r="T28" s="22">
        <f t="shared" ca="1" si="10"/>
        <v>525</v>
      </c>
      <c r="U28" s="22">
        <f t="shared" ca="1" si="10"/>
        <v>480</v>
      </c>
      <c r="V28" s="22">
        <f t="shared" ca="1" si="10"/>
        <v>45</v>
      </c>
      <c r="W28" s="7">
        <f t="shared" ca="1" si="11"/>
        <v>4</v>
      </c>
      <c r="X28" s="19">
        <f t="shared" ca="1" si="3"/>
        <v>0.33333333333333331</v>
      </c>
      <c r="Y28" s="7">
        <f t="shared" ca="1" si="4"/>
        <v>0</v>
      </c>
      <c r="Z28" s="7">
        <f t="shared" ca="1" si="5"/>
        <v>0</v>
      </c>
      <c r="AA28" s="7">
        <f t="shared" ca="1" si="6"/>
        <v>8</v>
      </c>
    </row>
    <row r="29" spans="1:27" ht="15" thickBot="1" x14ac:dyDescent="0.4">
      <c r="A29" s="7">
        <v>27</v>
      </c>
      <c r="B29" s="11">
        <f t="shared" ca="1" si="7"/>
        <v>44070</v>
      </c>
      <c r="C29" s="12">
        <f t="shared" ca="1" si="0"/>
        <v>44070</v>
      </c>
      <c r="D29" s="12"/>
      <c r="E29" s="29">
        <v>0.39583333333333331</v>
      </c>
      <c r="F29" s="23"/>
      <c r="G29" s="29">
        <v>0.58333333333333337</v>
      </c>
      <c r="H29" s="15"/>
      <c r="I29" s="29">
        <v>0.63541666666666663</v>
      </c>
      <c r="J29" s="24"/>
      <c r="K29" s="29">
        <v>0.77083333333333337</v>
      </c>
      <c r="L29" s="9"/>
      <c r="M29" s="18">
        <f t="shared" ca="1" si="8"/>
        <v>0.3229166666666668</v>
      </c>
      <c r="N29" s="18">
        <f t="shared" ca="1" si="9"/>
        <v>0.3229166666666668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465</v>
      </c>
      <c r="U29" s="22">
        <f t="shared" ca="1" si="10"/>
        <v>465</v>
      </c>
      <c r="V29" s="22">
        <f t="shared" ca="1" si="10"/>
        <v>0</v>
      </c>
      <c r="W29" s="7">
        <f t="shared" ca="1" si="11"/>
        <v>5</v>
      </c>
      <c r="X29" s="19">
        <f t="shared" ca="1" si="3"/>
        <v>0.33333333333333331</v>
      </c>
      <c r="Y29" s="7">
        <f t="shared" ca="1" si="4"/>
        <v>0</v>
      </c>
      <c r="Z29" s="7">
        <f t="shared" ca="1" si="5"/>
        <v>0</v>
      </c>
      <c r="AA29" s="7">
        <f t="shared" ca="1" si="6"/>
        <v>8</v>
      </c>
    </row>
    <row r="30" spans="1:27" ht="15" thickBot="1" x14ac:dyDescent="0.4">
      <c r="A30" s="7">
        <v>28</v>
      </c>
      <c r="B30" s="11">
        <f t="shared" ca="1" si="7"/>
        <v>44071</v>
      </c>
      <c r="C30" s="12">
        <f t="shared" ca="1" si="0"/>
        <v>44071</v>
      </c>
      <c r="E30" s="29">
        <v>0.39583333333333331</v>
      </c>
      <c r="F30" s="23"/>
      <c r="G30" s="29">
        <v>0.73958333333333337</v>
      </c>
      <c r="H30" s="15"/>
      <c r="I30" s="29">
        <v>0</v>
      </c>
      <c r="J30" s="24"/>
      <c r="K30" s="29">
        <v>0</v>
      </c>
      <c r="L30" s="9"/>
      <c r="M30" s="18">
        <f t="shared" ca="1" si="8"/>
        <v>0.34375000000000006</v>
      </c>
      <c r="N30" s="18">
        <f t="shared" ca="1" si="9"/>
        <v>0.25</v>
      </c>
      <c r="O30" s="19">
        <f t="shared" ca="1" si="1"/>
        <v>9.3750000000000056E-2</v>
      </c>
      <c r="P30" s="9"/>
      <c r="Q30" s="30"/>
      <c r="R30" s="21" t="s">
        <v>15</v>
      </c>
      <c r="T30" s="22">
        <f t="shared" ca="1" si="10"/>
        <v>495</v>
      </c>
      <c r="U30" s="22">
        <f t="shared" ca="1" si="10"/>
        <v>360</v>
      </c>
      <c r="V30" s="22">
        <f t="shared" ca="1" si="10"/>
        <v>135</v>
      </c>
      <c r="W30" s="7">
        <f t="shared" ca="1" si="11"/>
        <v>6</v>
      </c>
      <c r="X30" s="19">
        <f t="shared" ca="1" si="3"/>
        <v>0.25</v>
      </c>
      <c r="Y30" s="7">
        <f t="shared" ca="1" si="4"/>
        <v>0</v>
      </c>
      <c r="Z30" s="7">
        <f t="shared" ca="1" si="5"/>
        <v>0</v>
      </c>
      <c r="AA30" s="7">
        <f t="shared" ca="1" si="6"/>
        <v>8</v>
      </c>
    </row>
    <row r="31" spans="1:27" ht="15" thickBot="1" x14ac:dyDescent="0.4">
      <c r="A31" s="7">
        <v>29</v>
      </c>
      <c r="B31" s="11">
        <f t="shared" ca="1" si="7"/>
        <v>44072</v>
      </c>
      <c r="C31" s="12">
        <f t="shared" ca="1" si="0"/>
        <v>44072</v>
      </c>
      <c r="D31" s="12"/>
      <c r="E31" s="29">
        <v>0.39583333333333331</v>
      </c>
      <c r="F31" s="23"/>
      <c r="G31" s="29">
        <v>0.73958333333333337</v>
      </c>
      <c r="H31" s="15"/>
      <c r="I31" s="29">
        <v>0</v>
      </c>
      <c r="J31" s="24"/>
      <c r="K31" s="29">
        <v>0</v>
      </c>
      <c r="L31" s="9"/>
      <c r="M31" s="18">
        <f t="shared" ca="1" si="8"/>
        <v>0</v>
      </c>
      <c r="N31" s="18">
        <f t="shared" ca="1" si="9"/>
        <v>0</v>
      </c>
      <c r="O31" s="19">
        <f t="shared" ca="1" si="1"/>
        <v>0</v>
      </c>
      <c r="P31" s="9"/>
      <c r="Q31" s="30"/>
      <c r="R31" s="21" t="s">
        <v>15</v>
      </c>
      <c r="T31" s="22">
        <f t="shared" ca="1" si="10"/>
        <v>0</v>
      </c>
      <c r="U31" s="22">
        <f t="shared" ca="1" si="10"/>
        <v>0</v>
      </c>
      <c r="V31" s="22">
        <f t="shared" ca="1" si="10"/>
        <v>0</v>
      </c>
      <c r="W31" s="7">
        <f t="shared" ca="1" si="11"/>
        <v>7</v>
      </c>
      <c r="X31" s="19">
        <f t="shared" ca="1" si="3"/>
        <v>0</v>
      </c>
      <c r="Y31" s="7">
        <f t="shared" ca="1" si="4"/>
        <v>0</v>
      </c>
      <c r="Z31" s="7">
        <f t="shared" ca="1" si="5"/>
        <v>1</v>
      </c>
      <c r="AA31" s="7">
        <f t="shared" ca="1" si="6"/>
        <v>8</v>
      </c>
    </row>
    <row r="32" spans="1:27" ht="15" thickBot="1" x14ac:dyDescent="0.4">
      <c r="A32" s="7">
        <v>30</v>
      </c>
      <c r="B32" s="11">
        <f t="shared" ca="1" si="7"/>
        <v>44073</v>
      </c>
      <c r="C32" s="12">
        <f t="shared" ca="1" si="0"/>
        <v>44073</v>
      </c>
      <c r="E32" s="29">
        <v>0.39583333333333331</v>
      </c>
      <c r="F32" s="23"/>
      <c r="G32" s="29">
        <v>0.73958333333333337</v>
      </c>
      <c r="H32" s="15"/>
      <c r="I32" s="29">
        <v>0</v>
      </c>
      <c r="J32" s="24"/>
      <c r="K32" s="29">
        <v>0</v>
      </c>
      <c r="L32" s="9"/>
      <c r="M32" s="18">
        <f t="shared" ca="1" si="8"/>
        <v>0</v>
      </c>
      <c r="N32" s="18">
        <f t="shared" ca="1" si="9"/>
        <v>0</v>
      </c>
      <c r="O32" s="19">
        <f t="shared" ca="1" si="1"/>
        <v>0</v>
      </c>
      <c r="P32" s="9"/>
      <c r="Q32" s="30"/>
      <c r="R32" s="21" t="s">
        <v>15</v>
      </c>
      <c r="T32" s="22">
        <f t="shared" ca="1" si="10"/>
        <v>0</v>
      </c>
      <c r="U32" s="22">
        <f t="shared" ca="1" si="10"/>
        <v>0</v>
      </c>
      <c r="V32" s="22">
        <f t="shared" ca="1" si="10"/>
        <v>0</v>
      </c>
      <c r="W32" s="7">
        <f t="shared" ca="1" si="11"/>
        <v>1</v>
      </c>
      <c r="X32" s="19">
        <f t="shared" ca="1" si="3"/>
        <v>0</v>
      </c>
      <c r="Y32" s="7">
        <f t="shared" ca="1" si="4"/>
        <v>0</v>
      </c>
      <c r="Z32" s="7">
        <f t="shared" ca="1" si="5"/>
        <v>1</v>
      </c>
      <c r="AA32" s="7">
        <f t="shared" ca="1" si="6"/>
        <v>8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44074</v>
      </c>
      <c r="E33" s="29">
        <v>0.39583333333333331</v>
      </c>
      <c r="F33" s="23"/>
      <c r="G33" s="29">
        <v>0.58333333333333337</v>
      </c>
      <c r="H33" s="15"/>
      <c r="I33" s="29">
        <v>0.63541666666666663</v>
      </c>
      <c r="J33" s="24"/>
      <c r="K33" s="29">
        <v>0.77083333333333337</v>
      </c>
      <c r="L33" s="9"/>
      <c r="M33" s="18">
        <f t="shared" ca="1" si="8"/>
        <v>0.3229166666666668</v>
      </c>
      <c r="N33" s="18">
        <f t="shared" ca="1" si="9"/>
        <v>0.3229166666666668</v>
      </c>
      <c r="O33" s="19">
        <f t="shared" ca="1" si="1"/>
        <v>0</v>
      </c>
      <c r="P33" s="9"/>
      <c r="Q33" s="20"/>
      <c r="R33" s="21" t="s">
        <v>15</v>
      </c>
      <c r="T33" s="22">
        <f t="shared" ca="1" si="10"/>
        <v>465</v>
      </c>
      <c r="U33" s="22">
        <f t="shared" ca="1" si="10"/>
        <v>465</v>
      </c>
      <c r="V33" s="22">
        <f t="shared" ca="1" si="10"/>
        <v>0</v>
      </c>
      <c r="W33" s="7">
        <f t="shared" ca="1" si="11"/>
        <v>2</v>
      </c>
      <c r="X33" s="19">
        <f t="shared" ca="1" si="3"/>
        <v>0.33333333333333331</v>
      </c>
      <c r="Y33" s="7">
        <f t="shared" ca="1" si="4"/>
        <v>0</v>
      </c>
      <c r="Z33" s="7">
        <f t="shared" ca="1" si="5"/>
        <v>0</v>
      </c>
      <c r="AA33" s="7">
        <f t="shared" ca="1" si="6"/>
        <v>8</v>
      </c>
    </row>
    <row r="34" spans="1:27" ht="15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171</v>
      </c>
      <c r="N35" s="27">
        <f ca="1">SUM(U3:U33)/60</f>
        <v>157.25</v>
      </c>
      <c r="O35" s="27">
        <f ca="1">SUM(V3:V33)/60</f>
        <v>13.75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aHQDdQYNL2ap+1o+r8xj4Lo3R4IYN5qRcnyGj9gAU1s/AJ6MLu5ysAwirAihefiDgVAS+hLZUjFfkXq3Npa/1w==" saltValue="bSqdOwJMhEYwz/vs8vep3Q==" spinCount="100000" sheet="1" objects="1" scenarios="1"/>
  <mergeCells count="1">
    <mergeCell ref="B1:C1"/>
  </mergeCells>
  <conditionalFormatting sqref="G3:G33 E3:E33">
    <cfRule type="expression" dxfId="110" priority="5">
      <formula>VALUE(SUBSTITUTE($G3,":",""))&lt;VALUE(SUBSTITUTE($E3,":",""))</formula>
    </cfRule>
  </conditionalFormatting>
  <conditionalFormatting sqref="I3:I33 K3:K33">
    <cfRule type="expression" dxfId="109" priority="9">
      <formula>($K3-$I3)&lt;0</formula>
    </cfRule>
  </conditionalFormatting>
  <conditionalFormatting sqref="O3:O33">
    <cfRule type="cellIs" dxfId="108" priority="8" operator="greaterThan">
      <formula>0.1</formula>
    </cfRule>
    <cfRule type="expression" dxfId="107" priority="15">
      <formula>$R3="Fecha cerrada"</formula>
    </cfRule>
  </conditionalFormatting>
  <conditionalFormatting sqref="N3:N33">
    <cfRule type="expression" dxfId="106" priority="14">
      <formula>VALUE(SUBSTITUTE($G3,":",""))&lt;VALUE(SUBSTITUTE($E3,":",""))</formula>
    </cfRule>
  </conditionalFormatting>
  <conditionalFormatting sqref="N3:N33">
    <cfRule type="expression" dxfId="105" priority="13">
      <formula>$R3="Fecha cerrada"</formula>
    </cfRule>
  </conditionalFormatting>
  <conditionalFormatting sqref="X3:X33">
    <cfRule type="expression" dxfId="104" priority="12">
      <formula>VALUE(SUBSTITUTE($G3,":",""))&lt;VALUE(SUBSTITUTE($E3,":",""))</formula>
    </cfRule>
  </conditionalFormatting>
  <conditionalFormatting sqref="X3:X33">
    <cfRule type="expression" dxfId="103" priority="11">
      <formula>$R3="Fecha cerrada"</formula>
    </cfRule>
  </conditionalFormatting>
  <conditionalFormatting sqref="Q3:R33 N3:O33 E3:K33">
    <cfRule type="expression" dxfId="102" priority="1">
      <formula>OR($W3=1,$W3=7,$AA3&lt;&gt;_xlfn.SHEET($A$1),,IFERROR(VLOOKUP($C3,DiasVacaciones,1,FALSE+$O$14:$Q$14),0)&lt;&gt;0)</formula>
    </cfRule>
  </conditionalFormatting>
  <conditionalFormatting sqref="R3:R33">
    <cfRule type="cellIs" dxfId="101" priority="6" operator="equal">
      <formula>"Confirmar Fecha"</formula>
    </cfRule>
    <cfRule type="cellIs" dxfId="100" priority="7" operator="equal">
      <formula>"Confirmada"</formula>
    </cfRule>
  </conditionalFormatting>
  <conditionalFormatting sqref="M3:M33">
    <cfRule type="expression" dxfId="99" priority="4">
      <formula>VALUE(SUBSTITUTE($G3,":",""))&lt;VALUE(SUBSTITUTE($E3,":",""))</formula>
    </cfRule>
  </conditionalFormatting>
  <conditionalFormatting sqref="M3:M33">
    <cfRule type="expression" dxfId="98" priority="3">
      <formula>$R3="Fecha cerrada"</formula>
    </cfRule>
  </conditionalFormatting>
  <conditionalFormatting sqref="M3:M33">
    <cfRule type="expression" dxfId="97" priority="2">
      <formula>OR($W3=1,$W3=7,$Z3=1,$AA3&lt;&gt;_xlfn.SHEET($A$1))</formula>
    </cfRule>
  </conditionalFormatting>
  <conditionalFormatting sqref="E3:E33 G3:G33 I3:I33 K3:K33">
    <cfRule type="expression" dxfId="96" priority="10">
      <formula>$R3="Confirmada"</formula>
    </cfRule>
    <cfRule type="expression" dxfId="95" priority="16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G3:G33 K3:K33 I3:I33 E3:E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A39"/>
  <sheetViews>
    <sheetView showGridLines="0" workbookViewId="0">
      <selection activeCell="K33" sqref="K3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customWidth="1"/>
    <col min="20" max="20" width="6.26953125" style="7" hidden="1" customWidth="1"/>
    <col min="21" max="21" width="7.90625" style="7" hidden="1" customWidth="1"/>
    <col min="22" max="22" width="7.36328125" style="7" hidden="1" customWidth="1"/>
    <col min="23" max="24" width="10.90625" style="7" hidden="1" customWidth="1"/>
    <col min="25" max="25" width="11.1796875" style="7" hidden="1" customWidth="1"/>
    <col min="26" max="27" width="0" style="7" hidden="1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44075</v>
      </c>
      <c r="C3" s="12">
        <f t="shared" ref="C3:C33" ca="1" si="0">DATE(Anualidad,_xlfn.SHEET(B1),A3)</f>
        <v>44075</v>
      </c>
      <c r="D3" s="12"/>
      <c r="E3" s="31">
        <v>0.39583333333333331</v>
      </c>
      <c r="F3" s="14"/>
      <c r="G3" s="31">
        <v>0.58333333333333337</v>
      </c>
      <c r="H3" s="15"/>
      <c r="I3" s="29">
        <v>0.63541666666666663</v>
      </c>
      <c r="J3" s="17"/>
      <c r="K3" s="29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0.3229166666666668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0.3229166666666668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15</v>
      </c>
      <c r="T3" s="22">
        <f ca="1">MINUTE(M3)+(HOUR(M3)*60)</f>
        <v>465</v>
      </c>
      <c r="U3" s="22">
        <f t="shared" ref="U3:V18" ca="1" si="2">MINUTE(N3)+(HOUR(N3)*60)</f>
        <v>465</v>
      </c>
      <c r="V3" s="22">
        <f t="shared" ca="1" si="2"/>
        <v>0</v>
      </c>
      <c r="W3" s="7">
        <f ca="1">WEEKDAY(C3)</f>
        <v>3</v>
      </c>
      <c r="X3" s="19">
        <f t="shared" ref="X3:X33" ca="1" si="3">IF(AND(W3&lt;&gt;7,W3&lt;&gt;1),IF(W3=DiaSemanaIntensiva,HorasIntensiva,HorasOrdinarias),0)</f>
        <v>0.33333333333333331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0</v>
      </c>
      <c r="AA3" s="7">
        <f t="shared" ref="AA3:AA33" ca="1" si="6">MONTH(C3)</f>
        <v>9</v>
      </c>
    </row>
    <row r="4" spans="1:27" ht="15" thickBot="1" x14ac:dyDescent="0.4">
      <c r="A4" s="7">
        <v>2</v>
      </c>
      <c r="B4" s="11">
        <f t="shared" ref="B4:B32" ca="1" si="7">C4</f>
        <v>44076</v>
      </c>
      <c r="C4" s="12">
        <f t="shared" ca="1" si="0"/>
        <v>44076</v>
      </c>
      <c r="E4" s="29">
        <v>0.39583333333333331</v>
      </c>
      <c r="F4" s="23"/>
      <c r="G4" s="29">
        <v>0.58333333333333337</v>
      </c>
      <c r="H4" s="15"/>
      <c r="I4" s="29">
        <v>0.63541666666666663</v>
      </c>
      <c r="J4" s="24"/>
      <c r="K4" s="29">
        <v>0.77083333333333337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0.3229166666666668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0.3229166666666668</v>
      </c>
      <c r="O4" s="19">
        <f t="shared" ca="1" si="1"/>
        <v>0</v>
      </c>
      <c r="P4" s="9"/>
      <c r="Q4" s="30"/>
      <c r="R4" s="21" t="s">
        <v>15</v>
      </c>
      <c r="T4" s="22">
        <f t="shared" ref="T4:V33" ca="1" si="10">MINUTE(M4)+(HOUR(M4)*60)</f>
        <v>465</v>
      </c>
      <c r="U4" s="22">
        <f t="shared" ca="1" si="2"/>
        <v>465</v>
      </c>
      <c r="V4" s="22">
        <f t="shared" ca="1" si="2"/>
        <v>0</v>
      </c>
      <c r="W4" s="7">
        <f t="shared" ref="W4:W33" ca="1" si="11">WEEKDAY(C4)</f>
        <v>4</v>
      </c>
      <c r="X4" s="19">
        <f t="shared" ca="1" si="3"/>
        <v>0.33333333333333331</v>
      </c>
      <c r="Y4" s="7">
        <f t="shared" ca="1" si="4"/>
        <v>0</v>
      </c>
      <c r="Z4" s="7">
        <f t="shared" ca="1" si="5"/>
        <v>0</v>
      </c>
      <c r="AA4" s="7">
        <f t="shared" ca="1" si="6"/>
        <v>9</v>
      </c>
    </row>
    <row r="5" spans="1:27" ht="15" thickBot="1" x14ac:dyDescent="0.4">
      <c r="A5" s="7">
        <v>3</v>
      </c>
      <c r="B5" s="11">
        <f t="shared" ca="1" si="7"/>
        <v>44077</v>
      </c>
      <c r="C5" s="12">
        <f t="shared" ca="1" si="0"/>
        <v>44077</v>
      </c>
      <c r="D5" s="12"/>
      <c r="E5" s="29">
        <v>0.39583333333333331</v>
      </c>
      <c r="F5" s="23"/>
      <c r="G5" s="29">
        <v>0.58333333333333337</v>
      </c>
      <c r="H5" s="15"/>
      <c r="I5" s="29">
        <v>0.63541666666666663</v>
      </c>
      <c r="J5" s="24"/>
      <c r="K5" s="29">
        <v>0.77083333333333337</v>
      </c>
      <c r="L5" s="9"/>
      <c r="M5" s="18">
        <f t="shared" ca="1" si="8"/>
        <v>0.3229166666666668</v>
      </c>
      <c r="N5" s="18">
        <f t="shared" ca="1" si="9"/>
        <v>0.3229166666666668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465</v>
      </c>
      <c r="U5" s="22">
        <f t="shared" ca="1" si="2"/>
        <v>465</v>
      </c>
      <c r="V5" s="22">
        <f t="shared" ca="1" si="2"/>
        <v>0</v>
      </c>
      <c r="W5" s="7">
        <f t="shared" ca="1" si="11"/>
        <v>5</v>
      </c>
      <c r="X5" s="19">
        <f t="shared" ca="1" si="3"/>
        <v>0.33333333333333331</v>
      </c>
      <c r="Y5" s="7">
        <f t="shared" ca="1" si="4"/>
        <v>0</v>
      </c>
      <c r="Z5" s="7">
        <f t="shared" ca="1" si="5"/>
        <v>0</v>
      </c>
      <c r="AA5" s="7">
        <f t="shared" ca="1" si="6"/>
        <v>9</v>
      </c>
    </row>
    <row r="6" spans="1:27" ht="15" thickBot="1" x14ac:dyDescent="0.4">
      <c r="A6" s="7">
        <v>4</v>
      </c>
      <c r="B6" s="11">
        <f t="shared" ca="1" si="7"/>
        <v>44078</v>
      </c>
      <c r="C6" s="12">
        <f t="shared" ca="1" si="0"/>
        <v>44078</v>
      </c>
      <c r="E6" s="29">
        <v>0.39583333333333331</v>
      </c>
      <c r="F6" s="23"/>
      <c r="G6" s="29">
        <v>0.5</v>
      </c>
      <c r="H6" s="15"/>
      <c r="I6" s="29">
        <v>0</v>
      </c>
      <c r="J6" s="24"/>
      <c r="K6" s="29">
        <v>0</v>
      </c>
      <c r="L6" s="9"/>
      <c r="M6" s="18">
        <f t="shared" ca="1" si="8"/>
        <v>0.10416666666666669</v>
      </c>
      <c r="N6" s="18">
        <f t="shared" ca="1" si="9"/>
        <v>0.10416666666666669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150</v>
      </c>
      <c r="U6" s="22">
        <f t="shared" ca="1" si="2"/>
        <v>150</v>
      </c>
      <c r="V6" s="22">
        <f t="shared" ca="1" si="2"/>
        <v>0</v>
      </c>
      <c r="W6" s="7">
        <f t="shared" ca="1" si="11"/>
        <v>6</v>
      </c>
      <c r="X6" s="19">
        <f t="shared" ca="1" si="3"/>
        <v>0.25</v>
      </c>
      <c r="Y6" s="7">
        <f t="shared" ca="1" si="4"/>
        <v>0</v>
      </c>
      <c r="Z6" s="7">
        <f t="shared" ca="1" si="5"/>
        <v>0</v>
      </c>
      <c r="AA6" s="7">
        <f t="shared" ca="1" si="6"/>
        <v>9</v>
      </c>
    </row>
    <row r="7" spans="1:27" ht="15" thickBot="1" x14ac:dyDescent="0.4">
      <c r="A7" s="7">
        <v>5</v>
      </c>
      <c r="B7" s="11">
        <f t="shared" ca="1" si="7"/>
        <v>44079</v>
      </c>
      <c r="C7" s="12">
        <f t="shared" ca="1" si="0"/>
        <v>44079</v>
      </c>
      <c r="D7" s="12"/>
      <c r="E7" s="16" t="s">
        <v>3</v>
      </c>
      <c r="F7" s="23"/>
      <c r="G7" s="16" t="s">
        <v>4</v>
      </c>
      <c r="H7" s="15"/>
      <c r="I7" s="16" t="s">
        <v>5</v>
      </c>
      <c r="J7" s="24"/>
      <c r="K7" s="16" t="s">
        <v>6</v>
      </c>
      <c r="L7" s="9"/>
      <c r="M7" s="18">
        <f t="shared" ca="1" si="8"/>
        <v>0</v>
      </c>
      <c r="N7" s="18">
        <f t="shared" ca="1" si="9"/>
        <v>0</v>
      </c>
      <c r="O7" s="19">
        <f t="shared" ca="1" si="1"/>
        <v>0</v>
      </c>
      <c r="P7" s="9"/>
      <c r="Q7" s="20"/>
      <c r="R7" s="21" t="s">
        <v>8</v>
      </c>
      <c r="T7" s="22">
        <f t="shared" ca="1" si="10"/>
        <v>0</v>
      </c>
      <c r="U7" s="22">
        <f t="shared" ca="1" si="2"/>
        <v>0</v>
      </c>
      <c r="V7" s="22">
        <f t="shared" ca="1" si="2"/>
        <v>0</v>
      </c>
      <c r="W7" s="7">
        <f t="shared" ca="1" si="11"/>
        <v>7</v>
      </c>
      <c r="X7" s="19">
        <f t="shared" ca="1" si="3"/>
        <v>0</v>
      </c>
      <c r="Y7" s="7">
        <f t="shared" ca="1" si="4"/>
        <v>0</v>
      </c>
      <c r="Z7" s="7">
        <f t="shared" ca="1" si="5"/>
        <v>1</v>
      </c>
      <c r="AA7" s="7">
        <f t="shared" ca="1" si="6"/>
        <v>9</v>
      </c>
    </row>
    <row r="8" spans="1:27" ht="15" thickBot="1" x14ac:dyDescent="0.4">
      <c r="A8" s="7">
        <v>6</v>
      </c>
      <c r="B8" s="11">
        <f t="shared" ca="1" si="7"/>
        <v>44080</v>
      </c>
      <c r="C8" s="12">
        <f t="shared" ca="1" si="0"/>
        <v>44080</v>
      </c>
      <c r="E8" s="29">
        <v>0.34375</v>
      </c>
      <c r="F8" s="23"/>
      <c r="G8" s="29">
        <v>0.5</v>
      </c>
      <c r="H8" s="15"/>
      <c r="I8" s="29">
        <v>0</v>
      </c>
      <c r="J8" s="24"/>
      <c r="K8" s="29">
        <v>0.52083333333333337</v>
      </c>
      <c r="L8" s="9"/>
      <c r="M8" s="18">
        <f t="shared" ca="1" si="8"/>
        <v>0</v>
      </c>
      <c r="N8" s="18">
        <f t="shared" ca="1" si="9"/>
        <v>0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0</v>
      </c>
      <c r="U8" s="22">
        <f t="shared" ca="1" si="2"/>
        <v>0</v>
      </c>
      <c r="V8" s="22">
        <f t="shared" ca="1" si="2"/>
        <v>0</v>
      </c>
      <c r="W8" s="7">
        <f t="shared" ca="1" si="11"/>
        <v>1</v>
      </c>
      <c r="X8" s="19">
        <f t="shared" ca="1" si="3"/>
        <v>0</v>
      </c>
      <c r="Y8" s="7">
        <f t="shared" ca="1" si="4"/>
        <v>0</v>
      </c>
      <c r="Z8" s="7">
        <f t="shared" ca="1" si="5"/>
        <v>1</v>
      </c>
      <c r="AA8" s="7">
        <f t="shared" ca="1" si="6"/>
        <v>9</v>
      </c>
    </row>
    <row r="9" spans="1:27" ht="15" thickBot="1" x14ac:dyDescent="0.4">
      <c r="A9" s="7">
        <v>7</v>
      </c>
      <c r="B9" s="11">
        <f t="shared" ca="1" si="7"/>
        <v>44081</v>
      </c>
      <c r="C9" s="12">
        <f t="shared" ca="1" si="0"/>
        <v>44081</v>
      </c>
      <c r="D9" s="12"/>
      <c r="E9" s="29">
        <v>0.39583333333333331</v>
      </c>
      <c r="F9" s="23"/>
      <c r="G9" s="29">
        <v>0.58333333333333337</v>
      </c>
      <c r="H9" s="23"/>
      <c r="I9" s="29">
        <v>0.63541666666666663</v>
      </c>
      <c r="J9" s="24"/>
      <c r="K9" s="29">
        <v>0.77083333333333337</v>
      </c>
      <c r="L9" s="9"/>
      <c r="M9" s="18">
        <f t="shared" ca="1" si="8"/>
        <v>0.3229166666666668</v>
      </c>
      <c r="N9" s="18">
        <f t="shared" ca="1" si="9"/>
        <v>0.3229166666666668</v>
      </c>
      <c r="O9" s="19">
        <f t="shared" ca="1" si="1"/>
        <v>0</v>
      </c>
      <c r="P9" s="9"/>
      <c r="Q9" s="30"/>
      <c r="R9" s="21" t="s">
        <v>15</v>
      </c>
      <c r="T9" s="22">
        <f t="shared" ca="1" si="10"/>
        <v>465</v>
      </c>
      <c r="U9" s="22">
        <f t="shared" ca="1" si="2"/>
        <v>465</v>
      </c>
      <c r="V9" s="22">
        <f t="shared" ca="1" si="2"/>
        <v>0</v>
      </c>
      <c r="W9" s="7">
        <f t="shared" ca="1" si="11"/>
        <v>2</v>
      </c>
      <c r="X9" s="19">
        <f t="shared" ca="1" si="3"/>
        <v>0.33333333333333331</v>
      </c>
      <c r="Y9" s="7">
        <f t="shared" ca="1" si="4"/>
        <v>0</v>
      </c>
      <c r="Z9" s="7">
        <f t="shared" ca="1" si="5"/>
        <v>0</v>
      </c>
      <c r="AA9" s="7">
        <f t="shared" ca="1" si="6"/>
        <v>9</v>
      </c>
    </row>
    <row r="10" spans="1:27" ht="15" thickBot="1" x14ac:dyDescent="0.4">
      <c r="A10" s="7">
        <v>8</v>
      </c>
      <c r="B10" s="11">
        <f t="shared" ca="1" si="7"/>
        <v>44082</v>
      </c>
      <c r="C10" s="12">
        <f t="shared" ca="1" si="0"/>
        <v>44082</v>
      </c>
      <c r="E10" s="29">
        <v>0.39583333333333331</v>
      </c>
      <c r="F10" s="23"/>
      <c r="G10" s="29">
        <v>0.58333333333333337</v>
      </c>
      <c r="H10" s="23"/>
      <c r="I10" s="29">
        <v>0.63541666666666663</v>
      </c>
      <c r="J10" s="24"/>
      <c r="K10" s="29">
        <v>0.77083333333333337</v>
      </c>
      <c r="L10" s="9"/>
      <c r="M10" s="18">
        <f t="shared" ca="1" si="8"/>
        <v>0.3229166666666668</v>
      </c>
      <c r="N10" s="18">
        <f t="shared" ca="1" si="9"/>
        <v>0.3229166666666668</v>
      </c>
      <c r="O10" s="19">
        <f t="shared" ca="1" si="1"/>
        <v>0</v>
      </c>
      <c r="P10" s="9"/>
      <c r="Q10" s="20"/>
      <c r="R10" s="21" t="s">
        <v>15</v>
      </c>
      <c r="T10" s="22">
        <f t="shared" ca="1" si="10"/>
        <v>465</v>
      </c>
      <c r="U10" s="22">
        <f t="shared" ca="1" si="2"/>
        <v>465</v>
      </c>
      <c r="V10" s="22">
        <f t="shared" ca="1" si="2"/>
        <v>0</v>
      </c>
      <c r="W10" s="7">
        <f t="shared" ca="1" si="11"/>
        <v>3</v>
      </c>
      <c r="X10" s="19">
        <f t="shared" ca="1" si="3"/>
        <v>0.33333333333333331</v>
      </c>
      <c r="Y10" s="7">
        <f t="shared" ca="1" si="4"/>
        <v>0</v>
      </c>
      <c r="Z10" s="7">
        <f t="shared" ca="1" si="5"/>
        <v>0</v>
      </c>
      <c r="AA10" s="7">
        <f t="shared" ca="1" si="6"/>
        <v>9</v>
      </c>
    </row>
    <row r="11" spans="1:27" ht="15" thickBot="1" x14ac:dyDescent="0.4">
      <c r="A11" s="7">
        <v>9</v>
      </c>
      <c r="B11" s="11">
        <f t="shared" ca="1" si="7"/>
        <v>44083</v>
      </c>
      <c r="C11" s="12">
        <f t="shared" ca="1" si="0"/>
        <v>44083</v>
      </c>
      <c r="D11" s="12"/>
      <c r="E11" s="29">
        <v>0.39583333333333331</v>
      </c>
      <c r="F11" s="23"/>
      <c r="G11" s="29">
        <v>0.58333333333333337</v>
      </c>
      <c r="H11" s="15"/>
      <c r="I11" s="29">
        <v>0.63541666666666663</v>
      </c>
      <c r="J11" s="24"/>
      <c r="K11" s="29">
        <v>0.77083333333333337</v>
      </c>
      <c r="L11" s="9"/>
      <c r="M11" s="18">
        <f t="shared" ca="1" si="8"/>
        <v>0.3229166666666668</v>
      </c>
      <c r="N11" s="18">
        <f t="shared" ca="1" si="9"/>
        <v>0.3229166666666668</v>
      </c>
      <c r="O11" s="19">
        <f t="shared" ca="1" si="1"/>
        <v>0</v>
      </c>
      <c r="P11" s="9"/>
      <c r="Q11" s="30"/>
      <c r="R11" s="21" t="s">
        <v>15</v>
      </c>
      <c r="T11" s="22">
        <f t="shared" ca="1" si="10"/>
        <v>465</v>
      </c>
      <c r="U11" s="22">
        <f t="shared" ca="1" si="2"/>
        <v>465</v>
      </c>
      <c r="V11" s="22">
        <f t="shared" ca="1" si="2"/>
        <v>0</v>
      </c>
      <c r="W11" s="7">
        <f t="shared" ca="1" si="11"/>
        <v>4</v>
      </c>
      <c r="X11" s="19">
        <f t="shared" ca="1" si="3"/>
        <v>0.33333333333333331</v>
      </c>
      <c r="Y11" s="7">
        <f t="shared" ca="1" si="4"/>
        <v>0</v>
      </c>
      <c r="Z11" s="7">
        <f t="shared" ca="1" si="5"/>
        <v>0</v>
      </c>
      <c r="AA11" s="7">
        <f t="shared" ca="1" si="6"/>
        <v>9</v>
      </c>
    </row>
    <row r="12" spans="1:27" ht="15" thickBot="1" x14ac:dyDescent="0.4">
      <c r="A12" s="7">
        <v>10</v>
      </c>
      <c r="B12" s="11">
        <f t="shared" ca="1" si="7"/>
        <v>44084</v>
      </c>
      <c r="C12" s="12">
        <f t="shared" ca="1" si="0"/>
        <v>44084</v>
      </c>
      <c r="E12" s="29">
        <v>0.39583333333333331</v>
      </c>
      <c r="F12" s="23"/>
      <c r="G12" s="29">
        <v>0.58333333333333337</v>
      </c>
      <c r="H12" s="15"/>
      <c r="I12" s="29">
        <v>0.63541666666666663</v>
      </c>
      <c r="J12" s="24"/>
      <c r="K12" s="29">
        <v>0.77083333333333337</v>
      </c>
      <c r="L12" s="9"/>
      <c r="M12" s="18">
        <f t="shared" ca="1" si="8"/>
        <v>0.3229166666666668</v>
      </c>
      <c r="N12" s="18">
        <f t="shared" ca="1" si="9"/>
        <v>0.3229166666666668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465</v>
      </c>
      <c r="U12" s="22">
        <f t="shared" ca="1" si="2"/>
        <v>465</v>
      </c>
      <c r="V12" s="22">
        <f t="shared" ca="1" si="2"/>
        <v>0</v>
      </c>
      <c r="W12" s="7">
        <f t="shared" ca="1" si="11"/>
        <v>5</v>
      </c>
      <c r="X12" s="19">
        <f t="shared" ca="1" si="3"/>
        <v>0.33333333333333331</v>
      </c>
      <c r="Y12" s="7">
        <f t="shared" ca="1" si="4"/>
        <v>0</v>
      </c>
      <c r="Z12" s="7">
        <f t="shared" ca="1" si="5"/>
        <v>0</v>
      </c>
      <c r="AA12" s="7">
        <f t="shared" ca="1" si="6"/>
        <v>9</v>
      </c>
    </row>
    <row r="13" spans="1:27" ht="15" thickBot="1" x14ac:dyDescent="0.4">
      <c r="A13" s="7">
        <v>11</v>
      </c>
      <c r="B13" s="11">
        <f t="shared" ca="1" si="7"/>
        <v>44085</v>
      </c>
      <c r="C13" s="12">
        <f t="shared" ca="1" si="0"/>
        <v>44085</v>
      </c>
      <c r="D13" s="12"/>
      <c r="E13" s="16" t="s">
        <v>3</v>
      </c>
      <c r="F13" s="23"/>
      <c r="G13" s="16" t="s">
        <v>4</v>
      </c>
      <c r="H13" s="15"/>
      <c r="I13" s="16" t="s">
        <v>5</v>
      </c>
      <c r="J13" s="24"/>
      <c r="K13" s="16" t="s">
        <v>6</v>
      </c>
      <c r="L13" s="9"/>
      <c r="M13" s="18">
        <f t="shared" ca="1" si="8"/>
        <v>0.35416666666666674</v>
      </c>
      <c r="N13" s="18">
        <f t="shared" ca="1" si="9"/>
        <v>0.25</v>
      </c>
      <c r="O13" s="19">
        <f t="shared" ca="1" si="1"/>
        <v>0.10416666666666674</v>
      </c>
      <c r="P13" s="9"/>
      <c r="Q13" s="20"/>
      <c r="R13" s="21" t="s">
        <v>15</v>
      </c>
      <c r="T13" s="22">
        <f t="shared" ca="1" si="10"/>
        <v>510</v>
      </c>
      <c r="U13" s="22">
        <f t="shared" ca="1" si="2"/>
        <v>360</v>
      </c>
      <c r="V13" s="22">
        <f t="shared" ca="1" si="2"/>
        <v>150</v>
      </c>
      <c r="W13" s="7">
        <f t="shared" ca="1" si="11"/>
        <v>6</v>
      </c>
      <c r="X13" s="19">
        <f t="shared" ca="1" si="3"/>
        <v>0.25</v>
      </c>
      <c r="Y13" s="7">
        <f t="shared" ca="1" si="4"/>
        <v>0</v>
      </c>
      <c r="Z13" s="7">
        <f t="shared" ca="1" si="5"/>
        <v>0</v>
      </c>
      <c r="AA13" s="7">
        <f t="shared" ca="1" si="6"/>
        <v>9</v>
      </c>
    </row>
    <row r="14" spans="1:27" ht="15" thickBot="1" x14ac:dyDescent="0.4">
      <c r="A14" s="7">
        <v>12</v>
      </c>
      <c r="B14" s="11">
        <f t="shared" ca="1" si="7"/>
        <v>44086</v>
      </c>
      <c r="C14" s="12">
        <f t="shared" ca="1" si="0"/>
        <v>44086</v>
      </c>
      <c r="E14" s="16" t="s">
        <v>3</v>
      </c>
      <c r="F14" s="23"/>
      <c r="G14" s="16" t="s">
        <v>4</v>
      </c>
      <c r="H14" s="15"/>
      <c r="I14" s="16" t="s">
        <v>5</v>
      </c>
      <c r="J14" s="24"/>
      <c r="K14" s="16" t="s">
        <v>6</v>
      </c>
      <c r="L14" s="9"/>
      <c r="M14" s="18">
        <f t="shared" ca="1" si="8"/>
        <v>0</v>
      </c>
      <c r="N14" s="18">
        <f t="shared" ca="1" si="9"/>
        <v>0</v>
      </c>
      <c r="O14" s="19">
        <f t="shared" ca="1" si="1"/>
        <v>0</v>
      </c>
      <c r="P14" s="9"/>
      <c r="Q14" s="20"/>
      <c r="R14" s="21" t="s">
        <v>8</v>
      </c>
      <c r="T14" s="22">
        <f t="shared" ca="1" si="10"/>
        <v>0</v>
      </c>
      <c r="U14" s="22">
        <f t="shared" ca="1" si="2"/>
        <v>0</v>
      </c>
      <c r="V14" s="22">
        <f t="shared" ca="1" si="2"/>
        <v>0</v>
      </c>
      <c r="W14" s="7">
        <f t="shared" ca="1" si="11"/>
        <v>7</v>
      </c>
      <c r="X14" s="19">
        <f t="shared" ca="1" si="3"/>
        <v>0</v>
      </c>
      <c r="Y14" s="7">
        <f t="shared" ca="1" si="4"/>
        <v>0</v>
      </c>
      <c r="Z14" s="7">
        <f t="shared" ca="1" si="5"/>
        <v>1</v>
      </c>
      <c r="AA14" s="7">
        <f t="shared" ca="1" si="6"/>
        <v>9</v>
      </c>
    </row>
    <row r="15" spans="1:27" ht="15" thickBot="1" x14ac:dyDescent="0.4">
      <c r="A15" s="7">
        <v>13</v>
      </c>
      <c r="B15" s="11">
        <f t="shared" ca="1" si="7"/>
        <v>44087</v>
      </c>
      <c r="C15" s="12">
        <f t="shared" ca="1" si="0"/>
        <v>44087</v>
      </c>
      <c r="D15" s="12"/>
      <c r="E15" s="29">
        <v>0.34375</v>
      </c>
      <c r="F15" s="23"/>
      <c r="G15" s="29">
        <v>0.5</v>
      </c>
      <c r="H15" s="15"/>
      <c r="I15" s="29">
        <v>0</v>
      </c>
      <c r="J15" s="24"/>
      <c r="K15" s="29">
        <v>0.52083333333333337</v>
      </c>
      <c r="L15" s="9"/>
      <c r="M15" s="18">
        <f t="shared" ca="1" si="8"/>
        <v>0</v>
      </c>
      <c r="N15" s="18">
        <f t="shared" ca="1" si="9"/>
        <v>0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0</v>
      </c>
      <c r="U15" s="22">
        <f t="shared" ca="1" si="2"/>
        <v>0</v>
      </c>
      <c r="V15" s="22">
        <f t="shared" ca="1" si="2"/>
        <v>0</v>
      </c>
      <c r="W15" s="7">
        <f t="shared" ca="1" si="11"/>
        <v>1</v>
      </c>
      <c r="X15" s="19">
        <f t="shared" ca="1" si="3"/>
        <v>0</v>
      </c>
      <c r="Y15" s="7">
        <f t="shared" ca="1" si="4"/>
        <v>0</v>
      </c>
      <c r="Z15" s="7">
        <f t="shared" ca="1" si="5"/>
        <v>1</v>
      </c>
      <c r="AA15" s="7">
        <f t="shared" ca="1" si="6"/>
        <v>9</v>
      </c>
    </row>
    <row r="16" spans="1:27" ht="15" thickBot="1" x14ac:dyDescent="0.4">
      <c r="A16" s="7">
        <v>14</v>
      </c>
      <c r="B16" s="11">
        <f t="shared" ca="1" si="7"/>
        <v>44088</v>
      </c>
      <c r="C16" s="12">
        <f t="shared" ca="1" si="0"/>
        <v>44088</v>
      </c>
      <c r="E16" s="29">
        <v>0.39583333333333331</v>
      </c>
      <c r="F16" s="23"/>
      <c r="G16" s="29">
        <v>0.58333333333333337</v>
      </c>
      <c r="H16" s="15"/>
      <c r="I16" s="29">
        <v>0.63541666666666663</v>
      </c>
      <c r="J16" s="24"/>
      <c r="K16" s="29">
        <v>0.77083333333333337</v>
      </c>
      <c r="L16" s="9"/>
      <c r="M16" s="18">
        <f t="shared" ca="1" si="8"/>
        <v>0.3229166666666668</v>
      </c>
      <c r="N16" s="18">
        <f t="shared" ca="1" si="9"/>
        <v>0.3229166666666668</v>
      </c>
      <c r="O16" s="19">
        <f t="shared" ca="1" si="1"/>
        <v>0</v>
      </c>
      <c r="P16" s="9"/>
      <c r="Q16" s="30"/>
      <c r="R16" s="21" t="s">
        <v>15</v>
      </c>
      <c r="T16" s="22">
        <f t="shared" ca="1" si="10"/>
        <v>465</v>
      </c>
      <c r="U16" s="22">
        <f t="shared" ca="1" si="2"/>
        <v>465</v>
      </c>
      <c r="V16" s="22">
        <f t="shared" ca="1" si="2"/>
        <v>0</v>
      </c>
      <c r="W16" s="7">
        <f t="shared" ca="1" si="11"/>
        <v>2</v>
      </c>
      <c r="X16" s="19">
        <f t="shared" ca="1" si="3"/>
        <v>0.33333333333333331</v>
      </c>
      <c r="Y16" s="7">
        <f t="shared" ca="1" si="4"/>
        <v>0</v>
      </c>
      <c r="Z16" s="7">
        <f t="shared" ca="1" si="5"/>
        <v>0</v>
      </c>
      <c r="AA16" s="7">
        <f t="shared" ca="1" si="6"/>
        <v>9</v>
      </c>
    </row>
    <row r="17" spans="1:27" ht="15" thickBot="1" x14ac:dyDescent="0.4">
      <c r="A17" s="7">
        <v>15</v>
      </c>
      <c r="B17" s="11">
        <f t="shared" ca="1" si="7"/>
        <v>44089</v>
      </c>
      <c r="C17" s="12">
        <f t="shared" ca="1" si="0"/>
        <v>44089</v>
      </c>
      <c r="D17" s="12"/>
      <c r="E17" s="29">
        <v>0.39583333333333331</v>
      </c>
      <c r="F17" s="23"/>
      <c r="G17" s="29">
        <v>0.58333333333333337</v>
      </c>
      <c r="H17" s="23"/>
      <c r="I17" s="29">
        <v>0.63541666666666663</v>
      </c>
      <c r="J17" s="24"/>
      <c r="K17" s="29">
        <v>0.77083333333333337</v>
      </c>
      <c r="L17" s="9"/>
      <c r="M17" s="18">
        <f t="shared" ca="1" si="8"/>
        <v>0.3229166666666668</v>
      </c>
      <c r="N17" s="18">
        <f t="shared" ca="1" si="9"/>
        <v>0.3229166666666668</v>
      </c>
      <c r="O17" s="19">
        <f t="shared" ca="1" si="1"/>
        <v>0</v>
      </c>
      <c r="P17" s="9"/>
      <c r="Q17" s="30"/>
      <c r="R17" s="21" t="s">
        <v>15</v>
      </c>
      <c r="T17" s="22">
        <f t="shared" ca="1" si="10"/>
        <v>465</v>
      </c>
      <c r="U17" s="22">
        <f t="shared" ca="1" si="2"/>
        <v>465</v>
      </c>
      <c r="V17" s="22">
        <f t="shared" ca="1" si="2"/>
        <v>0</v>
      </c>
      <c r="W17" s="7">
        <f t="shared" ca="1" si="11"/>
        <v>3</v>
      </c>
      <c r="X17" s="19">
        <f t="shared" ca="1" si="3"/>
        <v>0.33333333333333331</v>
      </c>
      <c r="Y17" s="7">
        <f t="shared" ca="1" si="4"/>
        <v>0</v>
      </c>
      <c r="Z17" s="7">
        <f t="shared" ca="1" si="5"/>
        <v>0</v>
      </c>
      <c r="AA17" s="7">
        <f t="shared" ca="1" si="6"/>
        <v>9</v>
      </c>
    </row>
    <row r="18" spans="1:27" ht="15" thickBot="1" x14ac:dyDescent="0.4">
      <c r="A18" s="7">
        <v>16</v>
      </c>
      <c r="B18" s="11">
        <f t="shared" ca="1" si="7"/>
        <v>44090</v>
      </c>
      <c r="C18" s="12">
        <f t="shared" ca="1" si="0"/>
        <v>44090</v>
      </c>
      <c r="E18" s="29">
        <v>0.39583333333333331</v>
      </c>
      <c r="F18" s="23"/>
      <c r="G18" s="29">
        <v>0.58333333333333337</v>
      </c>
      <c r="H18" s="23"/>
      <c r="I18" s="29">
        <v>0.63541666666666663</v>
      </c>
      <c r="J18" s="24"/>
      <c r="K18" s="29">
        <v>0.77083333333333337</v>
      </c>
      <c r="L18" s="9"/>
      <c r="M18" s="18">
        <f t="shared" ca="1" si="8"/>
        <v>0.3229166666666668</v>
      </c>
      <c r="N18" s="18">
        <f t="shared" ca="1" si="9"/>
        <v>0.3229166666666668</v>
      </c>
      <c r="O18" s="19">
        <f t="shared" ca="1" si="1"/>
        <v>0</v>
      </c>
      <c r="P18" s="9"/>
      <c r="Q18" s="30"/>
      <c r="R18" s="21" t="s">
        <v>15</v>
      </c>
      <c r="T18" s="22">
        <f t="shared" ca="1" si="10"/>
        <v>465</v>
      </c>
      <c r="U18" s="22">
        <f t="shared" ca="1" si="2"/>
        <v>465</v>
      </c>
      <c r="V18" s="22">
        <f t="shared" ca="1" si="2"/>
        <v>0</v>
      </c>
      <c r="W18" s="7">
        <f t="shared" ca="1" si="11"/>
        <v>4</v>
      </c>
      <c r="X18" s="19">
        <f t="shared" ca="1" si="3"/>
        <v>0.33333333333333331</v>
      </c>
      <c r="Y18" s="7">
        <f t="shared" ca="1" si="4"/>
        <v>0</v>
      </c>
      <c r="Z18" s="7">
        <f t="shared" ca="1" si="5"/>
        <v>0</v>
      </c>
      <c r="AA18" s="7">
        <f t="shared" ca="1" si="6"/>
        <v>9</v>
      </c>
    </row>
    <row r="19" spans="1:27" ht="15" thickBot="1" x14ac:dyDescent="0.4">
      <c r="A19" s="7">
        <v>17</v>
      </c>
      <c r="B19" s="11">
        <f t="shared" ca="1" si="7"/>
        <v>44091</v>
      </c>
      <c r="C19" s="12">
        <f t="shared" ca="1" si="0"/>
        <v>44091</v>
      </c>
      <c r="D19" s="12"/>
      <c r="E19" s="29">
        <v>0.39583333333333331</v>
      </c>
      <c r="F19" s="23"/>
      <c r="G19" s="29">
        <v>0.58333333333333337</v>
      </c>
      <c r="H19" s="15"/>
      <c r="I19" s="29">
        <v>0.63541666666666663</v>
      </c>
      <c r="J19" s="24"/>
      <c r="K19" s="29">
        <v>0.77083333333333337</v>
      </c>
      <c r="L19" s="9"/>
      <c r="M19" s="18">
        <f t="shared" ca="1" si="8"/>
        <v>0.3229166666666668</v>
      </c>
      <c r="N19" s="18">
        <f t="shared" ca="1" si="9"/>
        <v>0.3229166666666668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465</v>
      </c>
      <c r="U19" s="22">
        <f t="shared" ca="1" si="10"/>
        <v>465</v>
      </c>
      <c r="V19" s="22">
        <f t="shared" ca="1" si="10"/>
        <v>0</v>
      </c>
      <c r="W19" s="7">
        <f t="shared" ca="1" si="11"/>
        <v>5</v>
      </c>
      <c r="X19" s="19">
        <f t="shared" ca="1" si="3"/>
        <v>0.33333333333333331</v>
      </c>
      <c r="Y19" s="7">
        <f t="shared" ca="1" si="4"/>
        <v>0</v>
      </c>
      <c r="Z19" s="7">
        <f t="shared" ca="1" si="5"/>
        <v>0</v>
      </c>
      <c r="AA19" s="7">
        <f t="shared" ca="1" si="6"/>
        <v>9</v>
      </c>
    </row>
    <row r="20" spans="1:27" ht="15" thickBot="1" x14ac:dyDescent="0.4">
      <c r="A20" s="7">
        <v>18</v>
      </c>
      <c r="B20" s="11">
        <f t="shared" ca="1" si="7"/>
        <v>44092</v>
      </c>
      <c r="C20" s="12">
        <f t="shared" ca="1" si="0"/>
        <v>44092</v>
      </c>
      <c r="E20" s="16" t="s">
        <v>3</v>
      </c>
      <c r="F20" s="23"/>
      <c r="G20" s="16" t="s">
        <v>4</v>
      </c>
      <c r="H20" s="15"/>
      <c r="I20" s="16" t="s">
        <v>30</v>
      </c>
      <c r="J20" s="24"/>
      <c r="K20" s="16" t="s">
        <v>34</v>
      </c>
      <c r="L20" s="9"/>
      <c r="M20" s="18">
        <f t="shared" ca="1" si="8"/>
        <v>0.36458333333333337</v>
      </c>
      <c r="N20" s="18">
        <f t="shared" ca="1" si="9"/>
        <v>0.25</v>
      </c>
      <c r="O20" s="19">
        <f t="shared" ca="1" si="1"/>
        <v>0.11458333333333337</v>
      </c>
      <c r="P20" s="9"/>
      <c r="Q20" s="20"/>
      <c r="R20" s="21" t="s">
        <v>15</v>
      </c>
      <c r="T20" s="22">
        <f t="shared" ca="1" si="10"/>
        <v>525</v>
      </c>
      <c r="U20" s="22">
        <f t="shared" ca="1" si="10"/>
        <v>360</v>
      </c>
      <c r="V20" s="22">
        <f t="shared" ca="1" si="10"/>
        <v>165</v>
      </c>
      <c r="W20" s="7">
        <f t="shared" ca="1" si="11"/>
        <v>6</v>
      </c>
      <c r="X20" s="19">
        <f t="shared" ca="1" si="3"/>
        <v>0.25</v>
      </c>
      <c r="Y20" s="7">
        <f t="shared" ca="1" si="4"/>
        <v>0</v>
      </c>
      <c r="Z20" s="7">
        <f t="shared" ca="1" si="5"/>
        <v>0</v>
      </c>
      <c r="AA20" s="7">
        <f t="shared" ca="1" si="6"/>
        <v>9</v>
      </c>
    </row>
    <row r="21" spans="1:27" ht="15" thickBot="1" x14ac:dyDescent="0.4">
      <c r="A21" s="7">
        <v>19</v>
      </c>
      <c r="B21" s="11">
        <f t="shared" ca="1" si="7"/>
        <v>44093</v>
      </c>
      <c r="C21" s="12">
        <f t="shared" ca="1" si="0"/>
        <v>44093</v>
      </c>
      <c r="D21" s="12"/>
      <c r="E21" s="16" t="s">
        <v>3</v>
      </c>
      <c r="F21" s="23"/>
      <c r="G21" s="29">
        <v>0.5</v>
      </c>
      <c r="H21" s="15"/>
      <c r="I21" s="16" t="s">
        <v>31</v>
      </c>
      <c r="J21" s="24"/>
      <c r="K21" s="16" t="s">
        <v>35</v>
      </c>
      <c r="L21" s="9"/>
      <c r="M21" s="18">
        <f t="shared" ca="1" si="8"/>
        <v>0</v>
      </c>
      <c r="N21" s="18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0</v>
      </c>
      <c r="U21" s="22">
        <f t="shared" ca="1" si="10"/>
        <v>0</v>
      </c>
      <c r="V21" s="22">
        <f t="shared" ca="1" si="10"/>
        <v>0</v>
      </c>
      <c r="W21" s="7">
        <f t="shared" ca="1" si="11"/>
        <v>7</v>
      </c>
      <c r="X21" s="19">
        <f t="shared" ca="1" si="3"/>
        <v>0</v>
      </c>
      <c r="Y21" s="7">
        <f t="shared" ca="1" si="4"/>
        <v>0</v>
      </c>
      <c r="Z21" s="7">
        <f t="shared" ca="1" si="5"/>
        <v>1</v>
      </c>
      <c r="AA21" s="7">
        <f t="shared" ca="1" si="6"/>
        <v>9</v>
      </c>
    </row>
    <row r="22" spans="1:27" ht="15" thickBot="1" x14ac:dyDescent="0.4">
      <c r="A22" s="7">
        <v>20</v>
      </c>
      <c r="B22" s="11">
        <f t="shared" ca="1" si="7"/>
        <v>44094</v>
      </c>
      <c r="C22" s="12">
        <f t="shared" ca="1" si="0"/>
        <v>44094</v>
      </c>
      <c r="E22" s="29">
        <v>0.34375</v>
      </c>
      <c r="F22" s="23"/>
      <c r="G22" s="29">
        <v>0.5</v>
      </c>
      <c r="H22" s="15"/>
      <c r="I22" s="29">
        <v>0</v>
      </c>
      <c r="J22" s="24"/>
      <c r="K22" s="29">
        <v>0.52083333333333337</v>
      </c>
      <c r="L22" s="9"/>
      <c r="M22" s="18">
        <f t="shared" ca="1" si="8"/>
        <v>0</v>
      </c>
      <c r="N22" s="18">
        <f t="shared" ca="1" si="9"/>
        <v>0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0</v>
      </c>
      <c r="U22" s="22">
        <f t="shared" ca="1" si="10"/>
        <v>0</v>
      </c>
      <c r="V22" s="22">
        <f t="shared" ca="1" si="10"/>
        <v>0</v>
      </c>
      <c r="W22" s="7">
        <f t="shared" ca="1" si="11"/>
        <v>1</v>
      </c>
      <c r="X22" s="19">
        <f t="shared" ca="1" si="3"/>
        <v>0</v>
      </c>
      <c r="Y22" s="7">
        <f t="shared" ca="1" si="4"/>
        <v>0</v>
      </c>
      <c r="Z22" s="7">
        <f t="shared" ca="1" si="5"/>
        <v>1</v>
      </c>
      <c r="AA22" s="7">
        <f t="shared" ca="1" si="6"/>
        <v>9</v>
      </c>
    </row>
    <row r="23" spans="1:27" ht="15" thickBot="1" x14ac:dyDescent="0.4">
      <c r="A23" s="7">
        <v>21</v>
      </c>
      <c r="B23" s="11">
        <f t="shared" ca="1" si="7"/>
        <v>44095</v>
      </c>
      <c r="C23" s="12">
        <f t="shared" ca="1" si="0"/>
        <v>44095</v>
      </c>
      <c r="D23" s="12"/>
      <c r="E23" s="29">
        <v>0.39583333333333331</v>
      </c>
      <c r="F23" s="23"/>
      <c r="G23" s="29">
        <v>0.58333333333333337</v>
      </c>
      <c r="H23" s="15"/>
      <c r="I23" s="29">
        <v>0.63541666666666663</v>
      </c>
      <c r="J23" s="24"/>
      <c r="K23" s="29">
        <v>0.77083333333333337</v>
      </c>
      <c r="L23" s="9"/>
      <c r="M23" s="18">
        <f t="shared" ca="1" si="8"/>
        <v>0.3229166666666668</v>
      </c>
      <c r="N23" s="18">
        <f t="shared" ca="1" si="9"/>
        <v>0.3229166666666668</v>
      </c>
      <c r="O23" s="19">
        <f t="shared" ca="1" si="1"/>
        <v>0</v>
      </c>
      <c r="P23" s="9"/>
      <c r="Q23" s="30"/>
      <c r="R23" s="21" t="s">
        <v>15</v>
      </c>
      <c r="T23" s="22">
        <f t="shared" ca="1" si="10"/>
        <v>465</v>
      </c>
      <c r="U23" s="22">
        <f t="shared" ca="1" si="10"/>
        <v>465</v>
      </c>
      <c r="V23" s="22">
        <f t="shared" ca="1" si="10"/>
        <v>0</v>
      </c>
      <c r="W23" s="7">
        <f t="shared" ca="1" si="11"/>
        <v>2</v>
      </c>
      <c r="X23" s="19">
        <f t="shared" ca="1" si="3"/>
        <v>0.33333333333333331</v>
      </c>
      <c r="Y23" s="7">
        <f t="shared" ca="1" si="4"/>
        <v>0</v>
      </c>
      <c r="Z23" s="7">
        <f t="shared" ca="1" si="5"/>
        <v>0</v>
      </c>
      <c r="AA23" s="7">
        <f t="shared" ca="1" si="6"/>
        <v>9</v>
      </c>
    </row>
    <row r="24" spans="1:27" ht="15" thickBot="1" x14ac:dyDescent="0.4">
      <c r="A24" s="7">
        <v>22</v>
      </c>
      <c r="B24" s="11">
        <f t="shared" ca="1" si="7"/>
        <v>44096</v>
      </c>
      <c r="C24" s="12">
        <f t="shared" ca="1" si="0"/>
        <v>44096</v>
      </c>
      <c r="E24" s="29">
        <v>0.39583333333333331</v>
      </c>
      <c r="F24" s="23"/>
      <c r="G24" s="29">
        <v>0.58333333333333337</v>
      </c>
      <c r="H24" s="15"/>
      <c r="I24" s="29">
        <v>0.63541666666666663</v>
      </c>
      <c r="J24" s="24"/>
      <c r="K24" s="29">
        <v>0.77083333333333337</v>
      </c>
      <c r="L24" s="9"/>
      <c r="M24" s="18">
        <f t="shared" ca="1" si="8"/>
        <v>0.3229166666666668</v>
      </c>
      <c r="N24" s="18">
        <f t="shared" ca="1" si="9"/>
        <v>0.3229166666666668</v>
      </c>
      <c r="O24" s="19">
        <f t="shared" ca="1" si="1"/>
        <v>0</v>
      </c>
      <c r="P24" s="9"/>
      <c r="Q24" s="30"/>
      <c r="R24" s="21" t="s">
        <v>15</v>
      </c>
      <c r="T24" s="22">
        <f t="shared" ca="1" si="10"/>
        <v>465</v>
      </c>
      <c r="U24" s="22">
        <f t="shared" ca="1" si="10"/>
        <v>465</v>
      </c>
      <c r="V24" s="22">
        <f t="shared" ca="1" si="10"/>
        <v>0</v>
      </c>
      <c r="W24" s="7">
        <f t="shared" ca="1" si="11"/>
        <v>3</v>
      </c>
      <c r="X24" s="19">
        <f t="shared" ca="1" si="3"/>
        <v>0.33333333333333331</v>
      </c>
      <c r="Y24" s="7">
        <f t="shared" ca="1" si="4"/>
        <v>0</v>
      </c>
      <c r="Z24" s="7">
        <f t="shared" ca="1" si="5"/>
        <v>0</v>
      </c>
      <c r="AA24" s="7">
        <f t="shared" ca="1" si="6"/>
        <v>9</v>
      </c>
    </row>
    <row r="25" spans="1:27" ht="15" thickBot="1" x14ac:dyDescent="0.4">
      <c r="A25" s="7">
        <v>23</v>
      </c>
      <c r="B25" s="11">
        <f t="shared" ca="1" si="7"/>
        <v>44097</v>
      </c>
      <c r="C25" s="12">
        <f t="shared" ca="1" si="0"/>
        <v>44097</v>
      </c>
      <c r="D25" s="12"/>
      <c r="E25" s="29">
        <v>0.39583333333333331</v>
      </c>
      <c r="F25" s="23"/>
      <c r="G25" s="29">
        <v>0.58333333333333337</v>
      </c>
      <c r="H25" s="23"/>
      <c r="I25" s="29">
        <v>0.63541666666666663</v>
      </c>
      <c r="J25" s="24"/>
      <c r="K25" s="29">
        <v>0.77083333333333337</v>
      </c>
      <c r="L25" s="9"/>
      <c r="M25" s="18">
        <f t="shared" ca="1" si="8"/>
        <v>0.3229166666666668</v>
      </c>
      <c r="N25" s="18">
        <f t="shared" ca="1" si="9"/>
        <v>0.3229166666666668</v>
      </c>
      <c r="O25" s="19">
        <f t="shared" ca="1" si="1"/>
        <v>0</v>
      </c>
      <c r="P25" s="9"/>
      <c r="Q25" s="30"/>
      <c r="R25" s="21" t="s">
        <v>15</v>
      </c>
      <c r="T25" s="22">
        <f t="shared" ca="1" si="10"/>
        <v>465</v>
      </c>
      <c r="U25" s="22">
        <f t="shared" ca="1" si="10"/>
        <v>465</v>
      </c>
      <c r="V25" s="22">
        <f t="shared" ca="1" si="10"/>
        <v>0</v>
      </c>
      <c r="W25" s="7">
        <f t="shared" ca="1" si="11"/>
        <v>4</v>
      </c>
      <c r="X25" s="19">
        <f t="shared" ca="1" si="3"/>
        <v>0.33333333333333331</v>
      </c>
      <c r="Y25" s="7">
        <f t="shared" ca="1" si="4"/>
        <v>0</v>
      </c>
      <c r="Z25" s="7">
        <f t="shared" ca="1" si="5"/>
        <v>0</v>
      </c>
      <c r="AA25" s="7">
        <f t="shared" ca="1" si="6"/>
        <v>9</v>
      </c>
    </row>
    <row r="26" spans="1:27" ht="15" thickBot="1" x14ac:dyDescent="0.4">
      <c r="A26" s="7">
        <v>24</v>
      </c>
      <c r="B26" s="11">
        <f t="shared" ca="1" si="7"/>
        <v>44098</v>
      </c>
      <c r="C26" s="12">
        <f t="shared" ca="1" si="0"/>
        <v>44098</v>
      </c>
      <c r="E26" s="29">
        <v>0.39583333333333331</v>
      </c>
      <c r="F26" s="23"/>
      <c r="G26" s="29">
        <v>0.58333333333333337</v>
      </c>
      <c r="H26" s="23"/>
      <c r="I26" s="29">
        <v>0.63541666666666663</v>
      </c>
      <c r="J26" s="24"/>
      <c r="K26" s="29">
        <v>0.77083333333333337</v>
      </c>
      <c r="L26" s="9"/>
      <c r="M26" s="18">
        <f t="shared" ca="1" si="8"/>
        <v>0.3229166666666668</v>
      </c>
      <c r="N26" s="18">
        <f t="shared" ca="1" si="9"/>
        <v>0.3229166666666668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465</v>
      </c>
      <c r="U26" s="22">
        <f t="shared" ca="1" si="10"/>
        <v>465</v>
      </c>
      <c r="V26" s="22">
        <f t="shared" ca="1" si="10"/>
        <v>0</v>
      </c>
      <c r="W26" s="7">
        <f t="shared" ca="1" si="11"/>
        <v>5</v>
      </c>
      <c r="X26" s="19">
        <f t="shared" ca="1" si="3"/>
        <v>0.33333333333333331</v>
      </c>
      <c r="Y26" s="7">
        <f t="shared" ca="1" si="4"/>
        <v>0</v>
      </c>
      <c r="Z26" s="7">
        <f t="shared" ca="1" si="5"/>
        <v>0</v>
      </c>
      <c r="AA26" s="7">
        <f t="shared" ca="1" si="6"/>
        <v>9</v>
      </c>
    </row>
    <row r="27" spans="1:27" ht="15" thickBot="1" x14ac:dyDescent="0.4">
      <c r="A27" s="7">
        <v>25</v>
      </c>
      <c r="B27" s="11">
        <f t="shared" ca="1" si="7"/>
        <v>44099</v>
      </c>
      <c r="C27" s="12">
        <f t="shared" ca="1" si="0"/>
        <v>44099</v>
      </c>
      <c r="D27" s="12"/>
      <c r="E27" s="16" t="s">
        <v>3</v>
      </c>
      <c r="F27" s="23"/>
      <c r="G27" s="16" t="s">
        <v>4</v>
      </c>
      <c r="H27" s="15"/>
      <c r="I27" s="29" t="s">
        <v>32</v>
      </c>
      <c r="J27" s="24"/>
      <c r="K27" s="29" t="s">
        <v>36</v>
      </c>
      <c r="L27" s="9"/>
      <c r="M27" s="18">
        <f t="shared" ca="1" si="8"/>
        <v>0.36458333333333337</v>
      </c>
      <c r="N27" s="18">
        <f t="shared" ca="1" si="9"/>
        <v>0.25</v>
      </c>
      <c r="O27" s="19">
        <f t="shared" ca="1" si="1"/>
        <v>0.11458333333333337</v>
      </c>
      <c r="P27" s="9"/>
      <c r="Q27" s="20"/>
      <c r="R27" s="21" t="s">
        <v>15</v>
      </c>
      <c r="T27" s="22">
        <f t="shared" ca="1" si="10"/>
        <v>525</v>
      </c>
      <c r="U27" s="22">
        <f t="shared" ca="1" si="10"/>
        <v>360</v>
      </c>
      <c r="V27" s="22">
        <f t="shared" ca="1" si="10"/>
        <v>165</v>
      </c>
      <c r="W27" s="7">
        <f t="shared" ca="1" si="11"/>
        <v>6</v>
      </c>
      <c r="X27" s="19">
        <f t="shared" ca="1" si="3"/>
        <v>0.25</v>
      </c>
      <c r="Y27" s="7">
        <f t="shared" ca="1" si="4"/>
        <v>0</v>
      </c>
      <c r="Z27" s="7">
        <f t="shared" ca="1" si="5"/>
        <v>0</v>
      </c>
      <c r="AA27" s="7">
        <f t="shared" ca="1" si="6"/>
        <v>9</v>
      </c>
    </row>
    <row r="28" spans="1:27" ht="15" thickBot="1" x14ac:dyDescent="0.4">
      <c r="A28" s="7">
        <v>26</v>
      </c>
      <c r="B28" s="11">
        <f t="shared" ca="1" si="7"/>
        <v>44100</v>
      </c>
      <c r="C28" s="12">
        <f t="shared" ca="1" si="0"/>
        <v>44100</v>
      </c>
      <c r="E28" s="16" t="s">
        <v>3</v>
      </c>
      <c r="F28" s="23"/>
      <c r="G28" s="16" t="s">
        <v>4</v>
      </c>
      <c r="H28" s="15"/>
      <c r="I28" s="16" t="s">
        <v>33</v>
      </c>
      <c r="J28" s="24"/>
      <c r="K28" s="29" t="s">
        <v>37</v>
      </c>
      <c r="L28" s="9"/>
      <c r="M28" s="18">
        <f t="shared" ca="1" si="8"/>
        <v>0</v>
      </c>
      <c r="N28" s="18">
        <f t="shared" ca="1" si="9"/>
        <v>0</v>
      </c>
      <c r="O28" s="19">
        <f t="shared" ca="1" si="1"/>
        <v>0</v>
      </c>
      <c r="P28" s="9"/>
      <c r="Q28" s="20"/>
      <c r="R28" s="21" t="s">
        <v>8</v>
      </c>
      <c r="T28" s="22">
        <f t="shared" ca="1" si="10"/>
        <v>0</v>
      </c>
      <c r="U28" s="22">
        <f t="shared" ca="1" si="10"/>
        <v>0</v>
      </c>
      <c r="V28" s="22">
        <f t="shared" ca="1" si="10"/>
        <v>0</v>
      </c>
      <c r="W28" s="7">
        <f t="shared" ca="1" si="11"/>
        <v>7</v>
      </c>
      <c r="X28" s="19">
        <f t="shared" ca="1" si="3"/>
        <v>0</v>
      </c>
      <c r="Y28" s="7">
        <f t="shared" ca="1" si="4"/>
        <v>0</v>
      </c>
      <c r="Z28" s="7">
        <f t="shared" ca="1" si="5"/>
        <v>1</v>
      </c>
      <c r="AA28" s="7">
        <f t="shared" ca="1" si="6"/>
        <v>9</v>
      </c>
    </row>
    <row r="29" spans="1:27" ht="15" thickBot="1" x14ac:dyDescent="0.4">
      <c r="A29" s="7">
        <v>27</v>
      </c>
      <c r="B29" s="11">
        <f t="shared" ca="1" si="7"/>
        <v>44101</v>
      </c>
      <c r="C29" s="12">
        <f t="shared" ca="1" si="0"/>
        <v>44101</v>
      </c>
      <c r="D29" s="12"/>
      <c r="E29" s="29">
        <v>0.34375</v>
      </c>
      <c r="F29" s="23"/>
      <c r="G29" s="29">
        <v>0.5</v>
      </c>
      <c r="H29" s="15"/>
      <c r="I29" s="29">
        <v>0</v>
      </c>
      <c r="J29" s="24"/>
      <c r="K29" s="29">
        <v>0.52083333333333337</v>
      </c>
      <c r="L29" s="9"/>
      <c r="M29" s="18">
        <f t="shared" ca="1" si="8"/>
        <v>0</v>
      </c>
      <c r="N29" s="18">
        <f t="shared" ca="1" si="9"/>
        <v>0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0</v>
      </c>
      <c r="U29" s="22">
        <f t="shared" ca="1" si="10"/>
        <v>0</v>
      </c>
      <c r="V29" s="22">
        <f t="shared" ca="1" si="10"/>
        <v>0</v>
      </c>
      <c r="W29" s="7">
        <f t="shared" ca="1" si="11"/>
        <v>1</v>
      </c>
      <c r="X29" s="19">
        <f t="shared" ca="1" si="3"/>
        <v>0</v>
      </c>
      <c r="Y29" s="7">
        <f t="shared" ca="1" si="4"/>
        <v>0</v>
      </c>
      <c r="Z29" s="7">
        <f t="shared" ca="1" si="5"/>
        <v>1</v>
      </c>
      <c r="AA29" s="7">
        <f t="shared" ca="1" si="6"/>
        <v>9</v>
      </c>
    </row>
    <row r="30" spans="1:27" ht="15" thickBot="1" x14ac:dyDescent="0.4">
      <c r="A30" s="7">
        <v>28</v>
      </c>
      <c r="B30" s="11">
        <f t="shared" ca="1" si="7"/>
        <v>44102</v>
      </c>
      <c r="C30" s="12">
        <f t="shared" ca="1" si="0"/>
        <v>44102</v>
      </c>
      <c r="E30" s="29">
        <v>0.39583333333333331</v>
      </c>
      <c r="F30" s="23"/>
      <c r="G30" s="29">
        <v>0.58333333333333337</v>
      </c>
      <c r="H30" s="15"/>
      <c r="I30" s="29">
        <v>0.63541666666666663</v>
      </c>
      <c r="J30" s="24"/>
      <c r="K30" s="29">
        <v>0.77083333333333337</v>
      </c>
      <c r="L30" s="9"/>
      <c r="M30" s="18">
        <f t="shared" ca="1" si="8"/>
        <v>0.3229166666666668</v>
      </c>
      <c r="N30" s="18">
        <f t="shared" ca="1" si="9"/>
        <v>0.3229166666666668</v>
      </c>
      <c r="O30" s="19">
        <f t="shared" ca="1" si="1"/>
        <v>0</v>
      </c>
      <c r="P30" s="9"/>
      <c r="Q30" s="30"/>
      <c r="R30" s="21" t="s">
        <v>15</v>
      </c>
      <c r="T30" s="22">
        <f t="shared" ca="1" si="10"/>
        <v>465</v>
      </c>
      <c r="U30" s="22">
        <f t="shared" ca="1" si="10"/>
        <v>465</v>
      </c>
      <c r="V30" s="22">
        <f t="shared" ca="1" si="10"/>
        <v>0</v>
      </c>
      <c r="W30" s="7">
        <f t="shared" ca="1" si="11"/>
        <v>2</v>
      </c>
      <c r="X30" s="19">
        <f t="shared" ca="1" si="3"/>
        <v>0.33333333333333331</v>
      </c>
      <c r="Y30" s="7">
        <f t="shared" ca="1" si="4"/>
        <v>0</v>
      </c>
      <c r="Z30" s="7">
        <f t="shared" ca="1" si="5"/>
        <v>0</v>
      </c>
      <c r="AA30" s="7">
        <f t="shared" ca="1" si="6"/>
        <v>9</v>
      </c>
    </row>
    <row r="31" spans="1:27" ht="15" thickBot="1" x14ac:dyDescent="0.4">
      <c r="A31" s="7">
        <v>29</v>
      </c>
      <c r="B31" s="11">
        <f t="shared" ca="1" si="7"/>
        <v>44103</v>
      </c>
      <c r="C31" s="12">
        <f t="shared" ca="1" si="0"/>
        <v>44103</v>
      </c>
      <c r="D31" s="12"/>
      <c r="E31" s="29">
        <v>0.39583333333333331</v>
      </c>
      <c r="F31" s="23"/>
      <c r="G31" s="29">
        <v>0.58333333333333337</v>
      </c>
      <c r="H31" s="15"/>
      <c r="I31" s="29">
        <v>0.63541666666666663</v>
      </c>
      <c r="J31" s="24"/>
      <c r="K31" s="29">
        <v>0.77083333333333337</v>
      </c>
      <c r="L31" s="9"/>
      <c r="M31" s="18">
        <f t="shared" ca="1" si="8"/>
        <v>0.3229166666666668</v>
      </c>
      <c r="N31" s="18">
        <f t="shared" ca="1" si="9"/>
        <v>0.3229166666666668</v>
      </c>
      <c r="O31" s="19">
        <f t="shared" ca="1" si="1"/>
        <v>0</v>
      </c>
      <c r="P31" s="9"/>
      <c r="Q31" s="30"/>
      <c r="R31" s="21" t="s">
        <v>15</v>
      </c>
      <c r="T31" s="22">
        <f t="shared" ca="1" si="10"/>
        <v>465</v>
      </c>
      <c r="U31" s="22">
        <f t="shared" ca="1" si="10"/>
        <v>465</v>
      </c>
      <c r="V31" s="22">
        <f t="shared" ca="1" si="10"/>
        <v>0</v>
      </c>
      <c r="W31" s="7">
        <f t="shared" ca="1" si="11"/>
        <v>3</v>
      </c>
      <c r="X31" s="19">
        <f t="shared" ca="1" si="3"/>
        <v>0.33333333333333331</v>
      </c>
      <c r="Y31" s="7">
        <f t="shared" ca="1" si="4"/>
        <v>0</v>
      </c>
      <c r="Z31" s="7">
        <f t="shared" ca="1" si="5"/>
        <v>0</v>
      </c>
      <c r="AA31" s="7">
        <f t="shared" ca="1" si="6"/>
        <v>9</v>
      </c>
    </row>
    <row r="32" spans="1:27" ht="15" thickBot="1" x14ac:dyDescent="0.4">
      <c r="A32" s="7">
        <v>30</v>
      </c>
      <c r="B32" s="11">
        <f t="shared" ca="1" si="7"/>
        <v>44104</v>
      </c>
      <c r="C32" s="12">
        <f t="shared" ca="1" si="0"/>
        <v>44104</v>
      </c>
      <c r="E32" s="29">
        <v>0.39583333333333331</v>
      </c>
      <c r="F32" s="23"/>
      <c r="G32" s="29">
        <v>0.58333333333333337</v>
      </c>
      <c r="H32" s="15"/>
      <c r="I32" s="29">
        <v>0.63541666666666663</v>
      </c>
      <c r="J32" s="24"/>
      <c r="K32" s="29">
        <v>0.77083333333333337</v>
      </c>
      <c r="L32" s="9"/>
      <c r="M32" s="18">
        <f t="shared" ca="1" si="8"/>
        <v>0.3229166666666668</v>
      </c>
      <c r="N32" s="18">
        <f t="shared" ca="1" si="9"/>
        <v>0.3229166666666668</v>
      </c>
      <c r="O32" s="19">
        <f t="shared" ca="1" si="1"/>
        <v>0</v>
      </c>
      <c r="P32" s="9"/>
      <c r="Q32" s="30"/>
      <c r="R32" s="21" t="s">
        <v>15</v>
      </c>
      <c r="T32" s="22">
        <f t="shared" ca="1" si="10"/>
        <v>465</v>
      </c>
      <c r="U32" s="22">
        <f t="shared" ca="1" si="10"/>
        <v>465</v>
      </c>
      <c r="V32" s="22">
        <f t="shared" ca="1" si="10"/>
        <v>0</v>
      </c>
      <c r="W32" s="7">
        <f t="shared" ca="1" si="11"/>
        <v>4</v>
      </c>
      <c r="X32" s="19">
        <f t="shared" ca="1" si="3"/>
        <v>0.33333333333333331</v>
      </c>
      <c r="Y32" s="7">
        <f t="shared" ca="1" si="4"/>
        <v>0</v>
      </c>
      <c r="Z32" s="7">
        <f t="shared" ca="1" si="5"/>
        <v>0</v>
      </c>
      <c r="AA32" s="7">
        <f t="shared" ca="1" si="6"/>
        <v>9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44105</v>
      </c>
      <c r="E33" s="29">
        <v>0.375</v>
      </c>
      <c r="F33" s="23"/>
      <c r="G33" s="29">
        <v>0.64583333333333337</v>
      </c>
      <c r="H33" s="15"/>
      <c r="I33" s="29">
        <v>0.625</v>
      </c>
      <c r="J33" s="24"/>
      <c r="K33" s="29">
        <v>0.77083333333333337</v>
      </c>
      <c r="L33" s="9"/>
      <c r="M33" s="18">
        <f t="shared" ca="1" si="8"/>
        <v>0</v>
      </c>
      <c r="N33" s="18">
        <f t="shared" ca="1" si="9"/>
        <v>0</v>
      </c>
      <c r="O33" s="19">
        <f t="shared" ca="1" si="1"/>
        <v>0</v>
      </c>
      <c r="P33" s="9"/>
      <c r="Q33" s="20"/>
      <c r="R33" s="21" t="s">
        <v>15</v>
      </c>
      <c r="T33" s="22">
        <f t="shared" ca="1" si="10"/>
        <v>0</v>
      </c>
      <c r="U33" s="22">
        <f t="shared" ca="1" si="10"/>
        <v>0</v>
      </c>
      <c r="V33" s="22">
        <f t="shared" ca="1" si="10"/>
        <v>0</v>
      </c>
      <c r="W33" s="7">
        <f t="shared" ca="1" si="11"/>
        <v>5</v>
      </c>
      <c r="X33" s="19">
        <f t="shared" ca="1" si="3"/>
        <v>0.33333333333333331</v>
      </c>
      <c r="Y33" s="7">
        <f t="shared" ca="1" si="4"/>
        <v>0</v>
      </c>
      <c r="Z33" s="7">
        <f t="shared" ca="1" si="5"/>
        <v>0</v>
      </c>
      <c r="AA33" s="7">
        <f t="shared" ca="1" si="6"/>
        <v>10</v>
      </c>
    </row>
    <row r="34" spans="1:27" ht="15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168</v>
      </c>
      <c r="N35" s="27">
        <f ca="1">SUM(U3:U33)/60</f>
        <v>160</v>
      </c>
      <c r="O35" s="27">
        <f ca="1">SUM(V3:V33)/60</f>
        <v>8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aHQDdQYNL2ap+1o+r8xj4Lo3R4IYN5qRcnyGj9gAU1s/AJ6MLu5ysAwirAihefiDgVAS+hLZUjFfkXq3Npa/1w==" saltValue="bSqdOwJMhEYwz/vs8vep3Q==" spinCount="100000" sheet="1" objects="1" scenarios="1"/>
  <mergeCells count="1">
    <mergeCell ref="B1:C1"/>
  </mergeCells>
  <conditionalFormatting sqref="G3:G33 E3:E33">
    <cfRule type="expression" dxfId="94" priority="5">
      <formula>VALUE(SUBSTITUTE($G3,":",""))&lt;VALUE(SUBSTITUTE($E3,":",""))</formula>
    </cfRule>
  </conditionalFormatting>
  <conditionalFormatting sqref="I3:I33 K3:K33">
    <cfRule type="expression" dxfId="93" priority="9">
      <formula>($K3-$I3)&lt;0</formula>
    </cfRule>
  </conditionalFormatting>
  <conditionalFormatting sqref="O3:O33">
    <cfRule type="cellIs" dxfId="92" priority="8" operator="greaterThan">
      <formula>0.1</formula>
    </cfRule>
    <cfRule type="expression" dxfId="91" priority="15">
      <formula>$R3="Fecha cerrada"</formula>
    </cfRule>
  </conditionalFormatting>
  <conditionalFormatting sqref="N3:N33">
    <cfRule type="expression" dxfId="90" priority="14">
      <formula>VALUE(SUBSTITUTE($G3,":",""))&lt;VALUE(SUBSTITUTE($E3,":",""))</formula>
    </cfRule>
  </conditionalFormatting>
  <conditionalFormatting sqref="N3:N33">
    <cfRule type="expression" dxfId="89" priority="13">
      <formula>$R3="Fecha cerrada"</formula>
    </cfRule>
  </conditionalFormatting>
  <conditionalFormatting sqref="X3:X33">
    <cfRule type="expression" dxfId="88" priority="12">
      <formula>VALUE(SUBSTITUTE($G3,":",""))&lt;VALUE(SUBSTITUTE($E3,":",""))</formula>
    </cfRule>
  </conditionalFormatting>
  <conditionalFormatting sqref="X3:X33">
    <cfRule type="expression" dxfId="87" priority="11">
      <formula>$R3="Fecha cerrada"</formula>
    </cfRule>
  </conditionalFormatting>
  <conditionalFormatting sqref="Q3:R33 N3:O33 E3:K33">
    <cfRule type="expression" dxfId="86" priority="1">
      <formula>OR($W3=1,$W3=7,$AA3&lt;&gt;_xlfn.SHEET($A$1),,IFERROR(VLOOKUP($C3,DiasVacaciones,1,FALSE+$O$14:$Q$14),0)&lt;&gt;0)</formula>
    </cfRule>
  </conditionalFormatting>
  <conditionalFormatting sqref="R3:R33">
    <cfRule type="cellIs" dxfId="85" priority="6" operator="equal">
      <formula>"Confirmar Fecha"</formula>
    </cfRule>
    <cfRule type="cellIs" dxfId="84" priority="7" operator="equal">
      <formula>"Confirmada"</formula>
    </cfRule>
  </conditionalFormatting>
  <conditionalFormatting sqref="M3:M33">
    <cfRule type="expression" dxfId="83" priority="4">
      <formula>VALUE(SUBSTITUTE($G3,":",""))&lt;VALUE(SUBSTITUTE($E3,":",""))</formula>
    </cfRule>
  </conditionalFormatting>
  <conditionalFormatting sqref="M3:M33">
    <cfRule type="expression" dxfId="82" priority="3">
      <formula>$R3="Fecha cerrada"</formula>
    </cfRule>
  </conditionalFormatting>
  <conditionalFormatting sqref="M3:M33">
    <cfRule type="expression" dxfId="81" priority="2">
      <formula>OR($W3=1,$W3=7,$Z3=1,$AA3&lt;&gt;_xlfn.SHEET($A$1))</formula>
    </cfRule>
  </conditionalFormatting>
  <conditionalFormatting sqref="E3:E33 G3:G33 I3:I33 K3:K33">
    <cfRule type="expression" dxfId="80" priority="10">
      <formula>$R3="Confirmada"</formula>
    </cfRule>
    <cfRule type="expression" dxfId="79" priority="16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G3:G33 K3:K33 I3:I33 E3:E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A39"/>
  <sheetViews>
    <sheetView showGridLines="0" workbookViewId="0">
      <selection activeCell="K33" sqref="K3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customWidth="1"/>
    <col min="20" max="20" width="6.26953125" style="7" hidden="1" customWidth="1"/>
    <col min="21" max="21" width="7.90625" style="7" hidden="1" customWidth="1"/>
    <col min="22" max="22" width="7.36328125" style="7" hidden="1" customWidth="1"/>
    <col min="23" max="24" width="10.90625" style="7" hidden="1" customWidth="1"/>
    <col min="25" max="25" width="11.1796875" style="7" hidden="1" customWidth="1"/>
    <col min="26" max="27" width="0" style="7" hidden="1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44105</v>
      </c>
      <c r="C3" s="12">
        <f t="shared" ref="C3:C33" ca="1" si="0">DATE(Anualidad,_xlfn.SHEET(B1),A3)</f>
        <v>44105</v>
      </c>
      <c r="D3" s="12"/>
      <c r="E3" s="31">
        <v>0.39583333333333331</v>
      </c>
      <c r="F3" s="14"/>
      <c r="G3" s="31">
        <v>0.58333333333333337</v>
      </c>
      <c r="H3" s="15"/>
      <c r="I3" s="29">
        <v>0.63541666666666663</v>
      </c>
      <c r="J3" s="17"/>
      <c r="K3" s="29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0.3229166666666668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0.3229166666666668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15</v>
      </c>
      <c r="T3" s="22">
        <f ca="1">MINUTE(M3)+(HOUR(M3)*60)</f>
        <v>465</v>
      </c>
      <c r="U3" s="22">
        <f t="shared" ref="U3:V18" ca="1" si="2">MINUTE(N3)+(HOUR(N3)*60)</f>
        <v>465</v>
      </c>
      <c r="V3" s="22">
        <f t="shared" ca="1" si="2"/>
        <v>0</v>
      </c>
      <c r="W3" s="7">
        <f ca="1">WEEKDAY(C3)</f>
        <v>5</v>
      </c>
      <c r="X3" s="19">
        <f t="shared" ref="X3:X33" ca="1" si="3">IF(AND(W3&lt;&gt;7,W3&lt;&gt;1),IF(W3=DiaSemanaIntensiva,HorasIntensiva,HorasOrdinarias),0)</f>
        <v>0.33333333333333331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0</v>
      </c>
      <c r="AA3" s="7">
        <f t="shared" ref="AA3:AA33" ca="1" si="6">MONTH(C3)</f>
        <v>10</v>
      </c>
    </row>
    <row r="4" spans="1:27" ht="15" thickBot="1" x14ac:dyDescent="0.4">
      <c r="A4" s="7">
        <v>2</v>
      </c>
      <c r="B4" s="11">
        <f t="shared" ref="B4:B32" ca="1" si="7">C4</f>
        <v>44106</v>
      </c>
      <c r="C4" s="12">
        <f t="shared" ca="1" si="0"/>
        <v>44106</v>
      </c>
      <c r="E4" s="29">
        <v>0.41666666666666669</v>
      </c>
      <c r="F4" s="23"/>
      <c r="G4" s="29">
        <v>0.71875</v>
      </c>
      <c r="H4" s="15"/>
      <c r="I4" s="29">
        <v>0.67708333333333337</v>
      </c>
      <c r="J4" s="24"/>
      <c r="K4" s="29">
        <v>0.79166666666666663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0.41666666666666657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0.25</v>
      </c>
      <c r="O4" s="19">
        <f t="shared" ca="1" si="1"/>
        <v>0.16666666666666657</v>
      </c>
      <c r="P4" s="9"/>
      <c r="Q4" s="30"/>
      <c r="R4" s="21" t="s">
        <v>15</v>
      </c>
      <c r="T4" s="22">
        <f t="shared" ref="T4:V33" ca="1" si="10">MINUTE(M4)+(HOUR(M4)*60)</f>
        <v>600</v>
      </c>
      <c r="U4" s="22">
        <f t="shared" ca="1" si="2"/>
        <v>360</v>
      </c>
      <c r="V4" s="22">
        <f t="shared" ca="1" si="2"/>
        <v>240</v>
      </c>
      <c r="W4" s="7">
        <f t="shared" ref="W4:W33" ca="1" si="11">WEEKDAY(C4)</f>
        <v>6</v>
      </c>
      <c r="X4" s="19">
        <f t="shared" ca="1" si="3"/>
        <v>0.25</v>
      </c>
      <c r="Y4" s="7">
        <f t="shared" ca="1" si="4"/>
        <v>0</v>
      </c>
      <c r="Z4" s="7">
        <f t="shared" ca="1" si="5"/>
        <v>0</v>
      </c>
      <c r="AA4" s="7">
        <f t="shared" ca="1" si="6"/>
        <v>10</v>
      </c>
    </row>
    <row r="5" spans="1:27" ht="15" thickBot="1" x14ac:dyDescent="0.4">
      <c r="A5" s="7">
        <v>3</v>
      </c>
      <c r="B5" s="11">
        <f t="shared" ca="1" si="7"/>
        <v>44107</v>
      </c>
      <c r="C5" s="12">
        <f t="shared" ca="1" si="0"/>
        <v>44107</v>
      </c>
      <c r="D5" s="12"/>
      <c r="E5" s="29">
        <v>0.79166666666666663</v>
      </c>
      <c r="F5" s="23"/>
      <c r="G5" s="29">
        <v>0.5</v>
      </c>
      <c r="H5" s="15"/>
      <c r="I5" s="29">
        <v>0</v>
      </c>
      <c r="J5" s="24"/>
      <c r="K5" s="29">
        <v>0</v>
      </c>
      <c r="L5" s="9"/>
      <c r="M5" s="18">
        <f t="shared" ca="1" si="8"/>
        <v>0</v>
      </c>
      <c r="N5" s="18">
        <f t="shared" ca="1" si="9"/>
        <v>0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0</v>
      </c>
      <c r="U5" s="22">
        <f t="shared" ca="1" si="2"/>
        <v>0</v>
      </c>
      <c r="V5" s="22">
        <f t="shared" ca="1" si="2"/>
        <v>0</v>
      </c>
      <c r="W5" s="7">
        <f t="shared" ca="1" si="11"/>
        <v>7</v>
      </c>
      <c r="X5" s="19">
        <f t="shared" ca="1" si="3"/>
        <v>0</v>
      </c>
      <c r="Y5" s="7">
        <f t="shared" ca="1" si="4"/>
        <v>0</v>
      </c>
      <c r="Z5" s="7">
        <f t="shared" ca="1" si="5"/>
        <v>1</v>
      </c>
      <c r="AA5" s="7">
        <f t="shared" ca="1" si="6"/>
        <v>10</v>
      </c>
    </row>
    <row r="6" spans="1:27" ht="15" thickBot="1" x14ac:dyDescent="0.4">
      <c r="A6" s="7">
        <v>4</v>
      </c>
      <c r="B6" s="11">
        <f t="shared" ca="1" si="7"/>
        <v>44108</v>
      </c>
      <c r="C6" s="12">
        <f t="shared" ca="1" si="0"/>
        <v>44108</v>
      </c>
      <c r="E6" s="16" t="s">
        <v>3</v>
      </c>
      <c r="F6" s="23"/>
      <c r="G6" s="29">
        <v>0.5</v>
      </c>
      <c r="H6" s="15"/>
      <c r="I6" s="16" t="s">
        <v>5</v>
      </c>
      <c r="J6" s="24"/>
      <c r="K6" s="16" t="s">
        <v>6</v>
      </c>
      <c r="L6" s="9"/>
      <c r="M6" s="18">
        <f t="shared" ca="1" si="8"/>
        <v>0</v>
      </c>
      <c r="N6" s="18">
        <f t="shared" ca="1" si="9"/>
        <v>0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0</v>
      </c>
      <c r="U6" s="22">
        <f t="shared" ca="1" si="2"/>
        <v>0</v>
      </c>
      <c r="V6" s="22">
        <f t="shared" ca="1" si="2"/>
        <v>0</v>
      </c>
      <c r="W6" s="7">
        <f t="shared" ca="1" si="11"/>
        <v>1</v>
      </c>
      <c r="X6" s="19">
        <f t="shared" ca="1" si="3"/>
        <v>0</v>
      </c>
      <c r="Y6" s="7">
        <f t="shared" ca="1" si="4"/>
        <v>0</v>
      </c>
      <c r="Z6" s="7">
        <f t="shared" ca="1" si="5"/>
        <v>1</v>
      </c>
      <c r="AA6" s="7">
        <f t="shared" ca="1" si="6"/>
        <v>10</v>
      </c>
    </row>
    <row r="7" spans="1:27" ht="15" thickBot="1" x14ac:dyDescent="0.4">
      <c r="A7" s="7">
        <v>5</v>
      </c>
      <c r="B7" s="11">
        <f t="shared" ca="1" si="7"/>
        <v>44109</v>
      </c>
      <c r="C7" s="12">
        <f t="shared" ca="1" si="0"/>
        <v>44109</v>
      </c>
      <c r="D7" s="12"/>
      <c r="E7" s="29">
        <v>0.39583333333333331</v>
      </c>
      <c r="F7" s="23"/>
      <c r="G7" s="29">
        <v>0.58333333333333337</v>
      </c>
      <c r="H7" s="15"/>
      <c r="I7" s="29">
        <v>0.63541666666666663</v>
      </c>
      <c r="J7" s="24"/>
      <c r="K7" s="29">
        <v>0.77083333333333337</v>
      </c>
      <c r="L7" s="9"/>
      <c r="M7" s="18">
        <f t="shared" ca="1" si="8"/>
        <v>0.3229166666666668</v>
      </c>
      <c r="N7" s="18">
        <f t="shared" ca="1" si="9"/>
        <v>0.3229166666666668</v>
      </c>
      <c r="O7" s="19">
        <f t="shared" ca="1" si="1"/>
        <v>0</v>
      </c>
      <c r="P7" s="9"/>
      <c r="Q7" s="20"/>
      <c r="R7" s="21" t="s">
        <v>15</v>
      </c>
      <c r="T7" s="22">
        <f t="shared" ca="1" si="10"/>
        <v>465</v>
      </c>
      <c r="U7" s="22">
        <f t="shared" ca="1" si="2"/>
        <v>465</v>
      </c>
      <c r="V7" s="22">
        <f t="shared" ca="1" si="2"/>
        <v>0</v>
      </c>
      <c r="W7" s="7">
        <f t="shared" ca="1" si="11"/>
        <v>2</v>
      </c>
      <c r="X7" s="19">
        <f t="shared" ca="1" si="3"/>
        <v>0.33333333333333331</v>
      </c>
      <c r="Y7" s="7">
        <f t="shared" ca="1" si="4"/>
        <v>0</v>
      </c>
      <c r="Z7" s="7">
        <f t="shared" ca="1" si="5"/>
        <v>0</v>
      </c>
      <c r="AA7" s="7">
        <f t="shared" ca="1" si="6"/>
        <v>10</v>
      </c>
    </row>
    <row r="8" spans="1:27" ht="15" thickBot="1" x14ac:dyDescent="0.4">
      <c r="A8" s="7">
        <v>6</v>
      </c>
      <c r="B8" s="11">
        <f t="shared" ca="1" si="7"/>
        <v>44110</v>
      </c>
      <c r="C8" s="12">
        <f t="shared" ca="1" si="0"/>
        <v>44110</v>
      </c>
      <c r="E8" s="29">
        <v>0.39583333333333331</v>
      </c>
      <c r="F8" s="23"/>
      <c r="G8" s="29">
        <v>0.58333333333333337</v>
      </c>
      <c r="H8" s="15"/>
      <c r="I8" s="29">
        <v>0.63541666666666663</v>
      </c>
      <c r="J8" s="24"/>
      <c r="K8" s="29">
        <v>0.77083333333333337</v>
      </c>
      <c r="L8" s="9"/>
      <c r="M8" s="18">
        <f t="shared" ca="1" si="8"/>
        <v>0.3229166666666668</v>
      </c>
      <c r="N8" s="18">
        <f t="shared" ca="1" si="9"/>
        <v>0.3229166666666668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465</v>
      </c>
      <c r="U8" s="22">
        <f t="shared" ca="1" si="2"/>
        <v>465</v>
      </c>
      <c r="V8" s="22">
        <f t="shared" ca="1" si="2"/>
        <v>0</v>
      </c>
      <c r="W8" s="7">
        <f t="shared" ca="1" si="11"/>
        <v>3</v>
      </c>
      <c r="X8" s="19">
        <f t="shared" ca="1" si="3"/>
        <v>0.33333333333333331</v>
      </c>
      <c r="Y8" s="7">
        <f t="shared" ca="1" si="4"/>
        <v>0</v>
      </c>
      <c r="Z8" s="7">
        <f t="shared" ca="1" si="5"/>
        <v>0</v>
      </c>
      <c r="AA8" s="7">
        <f t="shared" ca="1" si="6"/>
        <v>10</v>
      </c>
    </row>
    <row r="9" spans="1:27" ht="15" thickBot="1" x14ac:dyDescent="0.4">
      <c r="A9" s="7">
        <v>7</v>
      </c>
      <c r="B9" s="11">
        <f t="shared" ca="1" si="7"/>
        <v>44111</v>
      </c>
      <c r="C9" s="12">
        <f t="shared" ca="1" si="0"/>
        <v>44111</v>
      </c>
      <c r="D9" s="12"/>
      <c r="E9" s="29">
        <v>0.39583333333333331</v>
      </c>
      <c r="F9" s="23"/>
      <c r="G9" s="29">
        <v>0.58333333333333337</v>
      </c>
      <c r="H9" s="23"/>
      <c r="I9" s="29">
        <v>0.63541666666666663</v>
      </c>
      <c r="J9" s="24"/>
      <c r="K9" s="29">
        <v>0.77083333333333337</v>
      </c>
      <c r="L9" s="9"/>
      <c r="M9" s="18">
        <f t="shared" ca="1" si="8"/>
        <v>0.3229166666666668</v>
      </c>
      <c r="N9" s="18">
        <f t="shared" ca="1" si="9"/>
        <v>0.3229166666666668</v>
      </c>
      <c r="O9" s="19">
        <f t="shared" ca="1" si="1"/>
        <v>0</v>
      </c>
      <c r="P9" s="9"/>
      <c r="Q9" s="30"/>
      <c r="R9" s="21" t="s">
        <v>15</v>
      </c>
      <c r="T9" s="22">
        <f t="shared" ca="1" si="10"/>
        <v>465</v>
      </c>
      <c r="U9" s="22">
        <f t="shared" ca="1" si="2"/>
        <v>465</v>
      </c>
      <c r="V9" s="22">
        <f t="shared" ca="1" si="2"/>
        <v>0</v>
      </c>
      <c r="W9" s="7">
        <f t="shared" ca="1" si="11"/>
        <v>4</v>
      </c>
      <c r="X9" s="19">
        <f t="shared" ca="1" si="3"/>
        <v>0.33333333333333331</v>
      </c>
      <c r="Y9" s="7">
        <f t="shared" ca="1" si="4"/>
        <v>0</v>
      </c>
      <c r="Z9" s="7">
        <f t="shared" ca="1" si="5"/>
        <v>0</v>
      </c>
      <c r="AA9" s="7">
        <f t="shared" ca="1" si="6"/>
        <v>10</v>
      </c>
    </row>
    <row r="10" spans="1:27" ht="15" thickBot="1" x14ac:dyDescent="0.4">
      <c r="A10" s="7">
        <v>8</v>
      </c>
      <c r="B10" s="11">
        <f t="shared" ca="1" si="7"/>
        <v>44112</v>
      </c>
      <c r="C10" s="12">
        <f t="shared" ca="1" si="0"/>
        <v>44112</v>
      </c>
      <c r="E10" s="29">
        <v>0.39583333333333331</v>
      </c>
      <c r="F10" s="23"/>
      <c r="G10" s="29">
        <v>0.58333333333333337</v>
      </c>
      <c r="H10" s="23"/>
      <c r="I10" s="29">
        <v>0.63541666666666663</v>
      </c>
      <c r="J10" s="24"/>
      <c r="K10" s="29">
        <v>0.77083333333333337</v>
      </c>
      <c r="L10" s="9"/>
      <c r="M10" s="18">
        <f t="shared" ca="1" si="8"/>
        <v>0.3229166666666668</v>
      </c>
      <c r="N10" s="18">
        <f t="shared" ca="1" si="9"/>
        <v>0.3229166666666668</v>
      </c>
      <c r="O10" s="19">
        <f t="shared" ca="1" si="1"/>
        <v>0</v>
      </c>
      <c r="P10" s="9"/>
      <c r="Q10" s="20"/>
      <c r="R10" s="21" t="s">
        <v>15</v>
      </c>
      <c r="T10" s="22">
        <f t="shared" ca="1" si="10"/>
        <v>465</v>
      </c>
      <c r="U10" s="22">
        <f t="shared" ca="1" si="2"/>
        <v>465</v>
      </c>
      <c r="V10" s="22">
        <f t="shared" ca="1" si="2"/>
        <v>0</v>
      </c>
      <c r="W10" s="7">
        <f t="shared" ca="1" si="11"/>
        <v>5</v>
      </c>
      <c r="X10" s="19">
        <f t="shared" ca="1" si="3"/>
        <v>0.33333333333333331</v>
      </c>
      <c r="Y10" s="7">
        <f t="shared" ca="1" si="4"/>
        <v>0</v>
      </c>
      <c r="Z10" s="7">
        <f t="shared" ca="1" si="5"/>
        <v>0</v>
      </c>
      <c r="AA10" s="7">
        <f t="shared" ca="1" si="6"/>
        <v>10</v>
      </c>
    </row>
    <row r="11" spans="1:27" ht="15" thickBot="1" x14ac:dyDescent="0.4">
      <c r="A11" s="7">
        <v>9</v>
      </c>
      <c r="B11" s="11">
        <f t="shared" ca="1" si="7"/>
        <v>44113</v>
      </c>
      <c r="C11" s="12">
        <f t="shared" ca="1" si="0"/>
        <v>44113</v>
      </c>
      <c r="D11" s="12"/>
      <c r="E11" s="29">
        <v>0.39583333333333331</v>
      </c>
      <c r="F11" s="23"/>
      <c r="G11" s="29">
        <v>0.73958333333333337</v>
      </c>
      <c r="H11" s="15"/>
      <c r="I11" s="29">
        <v>0</v>
      </c>
      <c r="J11" s="24"/>
      <c r="K11" s="29">
        <v>0</v>
      </c>
      <c r="L11" s="9"/>
      <c r="M11" s="18">
        <f t="shared" ca="1" si="8"/>
        <v>0.34375000000000006</v>
      </c>
      <c r="N11" s="18">
        <f t="shared" ca="1" si="9"/>
        <v>0.25</v>
      </c>
      <c r="O11" s="19">
        <f t="shared" ca="1" si="1"/>
        <v>9.3750000000000056E-2</v>
      </c>
      <c r="P11" s="9"/>
      <c r="Q11" s="30"/>
      <c r="R11" s="21" t="s">
        <v>15</v>
      </c>
      <c r="T11" s="22">
        <f t="shared" ca="1" si="10"/>
        <v>495</v>
      </c>
      <c r="U11" s="22">
        <f t="shared" ca="1" si="2"/>
        <v>360</v>
      </c>
      <c r="V11" s="22">
        <f t="shared" ca="1" si="2"/>
        <v>135</v>
      </c>
      <c r="W11" s="7">
        <f t="shared" ca="1" si="11"/>
        <v>6</v>
      </c>
      <c r="X11" s="19">
        <f t="shared" ca="1" si="3"/>
        <v>0.25</v>
      </c>
      <c r="Y11" s="7">
        <f t="shared" ca="1" si="4"/>
        <v>0</v>
      </c>
      <c r="Z11" s="7">
        <f t="shared" ca="1" si="5"/>
        <v>0</v>
      </c>
      <c r="AA11" s="7">
        <f t="shared" ca="1" si="6"/>
        <v>10</v>
      </c>
    </row>
    <row r="12" spans="1:27" ht="15" thickBot="1" x14ac:dyDescent="0.4">
      <c r="A12" s="7">
        <v>10</v>
      </c>
      <c r="B12" s="11">
        <f t="shared" ca="1" si="7"/>
        <v>44114</v>
      </c>
      <c r="C12" s="12">
        <f t="shared" ca="1" si="0"/>
        <v>44114</v>
      </c>
      <c r="E12" s="29">
        <v>0.79166666666666663</v>
      </c>
      <c r="F12" s="23"/>
      <c r="G12" s="29">
        <v>0.5</v>
      </c>
      <c r="H12" s="15"/>
      <c r="I12" s="29">
        <v>0</v>
      </c>
      <c r="J12" s="24"/>
      <c r="K12" s="29">
        <v>0</v>
      </c>
      <c r="L12" s="9"/>
      <c r="M12" s="18">
        <f t="shared" ca="1" si="8"/>
        <v>0</v>
      </c>
      <c r="N12" s="18">
        <f t="shared" ca="1" si="9"/>
        <v>0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0</v>
      </c>
      <c r="U12" s="22">
        <f t="shared" ca="1" si="2"/>
        <v>0</v>
      </c>
      <c r="V12" s="22">
        <f t="shared" ca="1" si="2"/>
        <v>0</v>
      </c>
      <c r="W12" s="7">
        <f t="shared" ca="1" si="11"/>
        <v>7</v>
      </c>
      <c r="X12" s="19">
        <f t="shared" ca="1" si="3"/>
        <v>0</v>
      </c>
      <c r="Y12" s="7">
        <f t="shared" ca="1" si="4"/>
        <v>0</v>
      </c>
      <c r="Z12" s="7">
        <f t="shared" ca="1" si="5"/>
        <v>1</v>
      </c>
      <c r="AA12" s="7">
        <f t="shared" ca="1" si="6"/>
        <v>10</v>
      </c>
    </row>
    <row r="13" spans="1:27" ht="15" thickBot="1" x14ac:dyDescent="0.4">
      <c r="A13" s="7">
        <v>11</v>
      </c>
      <c r="B13" s="11">
        <f t="shared" ca="1" si="7"/>
        <v>44115</v>
      </c>
      <c r="C13" s="12">
        <f t="shared" ca="1" si="0"/>
        <v>44115</v>
      </c>
      <c r="D13" s="12"/>
      <c r="E13" s="16" t="s">
        <v>3</v>
      </c>
      <c r="F13" s="23"/>
      <c r="G13" s="16" t="s">
        <v>4</v>
      </c>
      <c r="H13" s="15"/>
      <c r="I13" s="16" t="s">
        <v>5</v>
      </c>
      <c r="J13" s="24"/>
      <c r="K13" s="16" t="s">
        <v>6</v>
      </c>
      <c r="L13" s="9"/>
      <c r="M13" s="18">
        <f t="shared" ca="1" si="8"/>
        <v>0</v>
      </c>
      <c r="N13" s="18">
        <f t="shared" ca="1" si="9"/>
        <v>0</v>
      </c>
      <c r="O13" s="19">
        <f t="shared" ca="1" si="1"/>
        <v>0</v>
      </c>
      <c r="P13" s="9"/>
      <c r="Q13" s="20"/>
      <c r="R13" s="21" t="s">
        <v>8</v>
      </c>
      <c r="T13" s="22">
        <f t="shared" ca="1" si="10"/>
        <v>0</v>
      </c>
      <c r="U13" s="22">
        <f t="shared" ca="1" si="2"/>
        <v>0</v>
      </c>
      <c r="V13" s="22">
        <f t="shared" ca="1" si="2"/>
        <v>0</v>
      </c>
      <c r="W13" s="7">
        <f t="shared" ca="1" si="11"/>
        <v>1</v>
      </c>
      <c r="X13" s="19">
        <f t="shared" ca="1" si="3"/>
        <v>0</v>
      </c>
      <c r="Y13" s="7">
        <f t="shared" ca="1" si="4"/>
        <v>0</v>
      </c>
      <c r="Z13" s="7">
        <f t="shared" ca="1" si="5"/>
        <v>1</v>
      </c>
      <c r="AA13" s="7">
        <f t="shared" ca="1" si="6"/>
        <v>10</v>
      </c>
    </row>
    <row r="14" spans="1:27" ht="15" thickBot="1" x14ac:dyDescent="0.4">
      <c r="A14" s="7">
        <v>12</v>
      </c>
      <c r="B14" s="11">
        <f t="shared" ca="1" si="7"/>
        <v>44116</v>
      </c>
      <c r="C14" s="12">
        <f t="shared" ca="1" si="0"/>
        <v>44116</v>
      </c>
      <c r="E14" s="29">
        <v>0.39583333333333331</v>
      </c>
      <c r="F14" s="23"/>
      <c r="G14" s="29">
        <v>0.58333333333333337</v>
      </c>
      <c r="H14" s="15"/>
      <c r="I14" s="29">
        <v>0.63541666666666663</v>
      </c>
      <c r="J14" s="24"/>
      <c r="K14" s="29">
        <v>0.77083333333333337</v>
      </c>
      <c r="L14" s="9"/>
      <c r="M14" s="18">
        <f t="shared" ca="1" si="8"/>
        <v>0.3229166666666668</v>
      </c>
      <c r="N14" s="18">
        <f t="shared" ca="1" si="9"/>
        <v>0.3229166666666668</v>
      </c>
      <c r="O14" s="19">
        <f t="shared" ca="1" si="1"/>
        <v>0</v>
      </c>
      <c r="P14" s="9"/>
      <c r="Q14" s="20"/>
      <c r="R14" s="21" t="s">
        <v>15</v>
      </c>
      <c r="T14" s="22">
        <f t="shared" ca="1" si="10"/>
        <v>465</v>
      </c>
      <c r="U14" s="22">
        <f t="shared" ca="1" si="2"/>
        <v>465</v>
      </c>
      <c r="V14" s="22">
        <f t="shared" ca="1" si="2"/>
        <v>0</v>
      </c>
      <c r="W14" s="7">
        <f t="shared" ca="1" si="11"/>
        <v>2</v>
      </c>
      <c r="X14" s="19">
        <f t="shared" ca="1" si="3"/>
        <v>0.33333333333333331</v>
      </c>
      <c r="Y14" s="7">
        <f t="shared" ca="1" si="4"/>
        <v>0</v>
      </c>
      <c r="Z14" s="7">
        <f t="shared" ca="1" si="5"/>
        <v>0</v>
      </c>
      <c r="AA14" s="7">
        <f t="shared" ca="1" si="6"/>
        <v>10</v>
      </c>
    </row>
    <row r="15" spans="1:27" ht="15" thickBot="1" x14ac:dyDescent="0.4">
      <c r="A15" s="7">
        <v>13</v>
      </c>
      <c r="B15" s="11">
        <f t="shared" ca="1" si="7"/>
        <v>44117</v>
      </c>
      <c r="C15" s="12">
        <f t="shared" ca="1" si="0"/>
        <v>44117</v>
      </c>
      <c r="D15" s="12"/>
      <c r="E15" s="29">
        <v>0.39583333333333331</v>
      </c>
      <c r="F15" s="23"/>
      <c r="G15" s="29">
        <v>0.58333333333333337</v>
      </c>
      <c r="H15" s="15"/>
      <c r="I15" s="29">
        <v>0.63541666666666663</v>
      </c>
      <c r="J15" s="24"/>
      <c r="K15" s="29">
        <v>0.77083333333333337</v>
      </c>
      <c r="L15" s="9"/>
      <c r="M15" s="18">
        <f t="shared" ca="1" si="8"/>
        <v>0.3229166666666668</v>
      </c>
      <c r="N15" s="18">
        <f t="shared" ca="1" si="9"/>
        <v>0.3229166666666668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465</v>
      </c>
      <c r="U15" s="22">
        <f t="shared" ca="1" si="2"/>
        <v>465</v>
      </c>
      <c r="V15" s="22">
        <f t="shared" ca="1" si="2"/>
        <v>0</v>
      </c>
      <c r="W15" s="7">
        <f t="shared" ca="1" si="11"/>
        <v>3</v>
      </c>
      <c r="X15" s="19">
        <f t="shared" ca="1" si="3"/>
        <v>0.33333333333333331</v>
      </c>
      <c r="Y15" s="7">
        <f t="shared" ca="1" si="4"/>
        <v>0</v>
      </c>
      <c r="Z15" s="7">
        <f t="shared" ca="1" si="5"/>
        <v>0</v>
      </c>
      <c r="AA15" s="7">
        <f t="shared" ca="1" si="6"/>
        <v>10</v>
      </c>
    </row>
    <row r="16" spans="1:27" ht="15" thickBot="1" x14ac:dyDescent="0.4">
      <c r="A16" s="7">
        <v>14</v>
      </c>
      <c r="B16" s="11">
        <f t="shared" ca="1" si="7"/>
        <v>44118</v>
      </c>
      <c r="C16" s="12">
        <f t="shared" ca="1" si="0"/>
        <v>44118</v>
      </c>
      <c r="E16" s="29">
        <v>0.39583333333333331</v>
      </c>
      <c r="F16" s="23"/>
      <c r="G16" s="29">
        <v>0.58333333333333337</v>
      </c>
      <c r="H16" s="15"/>
      <c r="I16" s="29">
        <v>0.63541666666666663</v>
      </c>
      <c r="J16" s="24"/>
      <c r="K16" s="29">
        <v>0.77083333333333337</v>
      </c>
      <c r="L16" s="9"/>
      <c r="M16" s="18">
        <f t="shared" ca="1" si="8"/>
        <v>0.3229166666666668</v>
      </c>
      <c r="N16" s="18">
        <f t="shared" ca="1" si="9"/>
        <v>0.3229166666666668</v>
      </c>
      <c r="O16" s="19">
        <f t="shared" ca="1" si="1"/>
        <v>0</v>
      </c>
      <c r="P16" s="9"/>
      <c r="Q16" s="30"/>
      <c r="R16" s="21" t="s">
        <v>15</v>
      </c>
      <c r="T16" s="22">
        <f t="shared" ca="1" si="10"/>
        <v>465</v>
      </c>
      <c r="U16" s="22">
        <f t="shared" ca="1" si="2"/>
        <v>465</v>
      </c>
      <c r="V16" s="22">
        <f t="shared" ca="1" si="2"/>
        <v>0</v>
      </c>
      <c r="W16" s="7">
        <f t="shared" ca="1" si="11"/>
        <v>4</v>
      </c>
      <c r="X16" s="19">
        <f t="shared" ca="1" si="3"/>
        <v>0.33333333333333331</v>
      </c>
      <c r="Y16" s="7">
        <f t="shared" ca="1" si="4"/>
        <v>0</v>
      </c>
      <c r="Z16" s="7">
        <f t="shared" ca="1" si="5"/>
        <v>0</v>
      </c>
      <c r="AA16" s="7">
        <f t="shared" ca="1" si="6"/>
        <v>10</v>
      </c>
    </row>
    <row r="17" spans="1:27" ht="15" thickBot="1" x14ac:dyDescent="0.4">
      <c r="A17" s="7">
        <v>15</v>
      </c>
      <c r="B17" s="11">
        <f t="shared" ca="1" si="7"/>
        <v>44119</v>
      </c>
      <c r="C17" s="12">
        <f t="shared" ca="1" si="0"/>
        <v>44119</v>
      </c>
      <c r="D17" s="12"/>
      <c r="E17" s="29">
        <v>0.39583333333333331</v>
      </c>
      <c r="F17" s="23"/>
      <c r="G17" s="29">
        <v>0.58333333333333337</v>
      </c>
      <c r="H17" s="23"/>
      <c r="I17" s="29">
        <v>0.63541666666666663</v>
      </c>
      <c r="J17" s="24"/>
      <c r="K17" s="29">
        <v>0.77083333333333337</v>
      </c>
      <c r="L17" s="9"/>
      <c r="M17" s="18">
        <f t="shared" ca="1" si="8"/>
        <v>0.3229166666666668</v>
      </c>
      <c r="N17" s="18">
        <f t="shared" ca="1" si="9"/>
        <v>0.3229166666666668</v>
      </c>
      <c r="O17" s="19">
        <f t="shared" ca="1" si="1"/>
        <v>0</v>
      </c>
      <c r="P17" s="9"/>
      <c r="Q17" s="30"/>
      <c r="R17" s="21" t="s">
        <v>15</v>
      </c>
      <c r="T17" s="22">
        <f t="shared" ca="1" si="10"/>
        <v>465</v>
      </c>
      <c r="U17" s="22">
        <f t="shared" ca="1" si="2"/>
        <v>465</v>
      </c>
      <c r="V17" s="22">
        <f t="shared" ca="1" si="2"/>
        <v>0</v>
      </c>
      <c r="W17" s="7">
        <f t="shared" ca="1" si="11"/>
        <v>5</v>
      </c>
      <c r="X17" s="19">
        <f t="shared" ca="1" si="3"/>
        <v>0.33333333333333331</v>
      </c>
      <c r="Y17" s="7">
        <f t="shared" ca="1" si="4"/>
        <v>0</v>
      </c>
      <c r="Z17" s="7">
        <f t="shared" ca="1" si="5"/>
        <v>0</v>
      </c>
      <c r="AA17" s="7">
        <f t="shared" ca="1" si="6"/>
        <v>10</v>
      </c>
    </row>
    <row r="18" spans="1:27" ht="15" thickBot="1" x14ac:dyDescent="0.4">
      <c r="A18" s="7">
        <v>16</v>
      </c>
      <c r="B18" s="11">
        <f t="shared" ca="1" si="7"/>
        <v>44120</v>
      </c>
      <c r="C18" s="12">
        <f t="shared" ca="1" si="0"/>
        <v>44120</v>
      </c>
      <c r="E18" s="29">
        <v>0.65625</v>
      </c>
      <c r="F18" s="23"/>
      <c r="G18" s="29">
        <v>0.73958333333333337</v>
      </c>
      <c r="H18" s="23"/>
      <c r="I18" s="29">
        <v>0</v>
      </c>
      <c r="J18" s="24"/>
      <c r="K18" s="29">
        <v>0</v>
      </c>
      <c r="L18" s="9"/>
      <c r="M18" s="18">
        <f t="shared" ca="1" si="8"/>
        <v>8.333333333333337E-2</v>
      </c>
      <c r="N18" s="18">
        <f t="shared" ca="1" si="9"/>
        <v>8.333333333333337E-2</v>
      </c>
      <c r="O18" s="19">
        <f t="shared" ca="1" si="1"/>
        <v>0</v>
      </c>
      <c r="P18" s="9"/>
      <c r="Q18" s="30"/>
      <c r="R18" s="21" t="s">
        <v>15</v>
      </c>
      <c r="T18" s="22">
        <f t="shared" ca="1" si="10"/>
        <v>120</v>
      </c>
      <c r="U18" s="22">
        <f t="shared" ca="1" si="2"/>
        <v>120</v>
      </c>
      <c r="V18" s="22">
        <f t="shared" ca="1" si="2"/>
        <v>0</v>
      </c>
      <c r="W18" s="7">
        <f t="shared" ca="1" si="11"/>
        <v>6</v>
      </c>
      <c r="X18" s="19">
        <f t="shared" ca="1" si="3"/>
        <v>0.25</v>
      </c>
      <c r="Y18" s="7">
        <f t="shared" ca="1" si="4"/>
        <v>0</v>
      </c>
      <c r="Z18" s="7">
        <f t="shared" ca="1" si="5"/>
        <v>0</v>
      </c>
      <c r="AA18" s="7">
        <f t="shared" ca="1" si="6"/>
        <v>10</v>
      </c>
    </row>
    <row r="19" spans="1:27" ht="15" thickBot="1" x14ac:dyDescent="0.4">
      <c r="A19" s="7">
        <v>17</v>
      </c>
      <c r="B19" s="11">
        <f t="shared" ca="1" si="7"/>
        <v>44121</v>
      </c>
      <c r="C19" s="12">
        <f t="shared" ca="1" si="0"/>
        <v>44121</v>
      </c>
      <c r="D19" s="12"/>
      <c r="E19" s="29">
        <v>0.79166666666666663</v>
      </c>
      <c r="F19" s="23"/>
      <c r="G19" s="16">
        <v>0.5</v>
      </c>
      <c r="H19" s="15"/>
      <c r="I19" s="29">
        <v>0</v>
      </c>
      <c r="J19" s="24"/>
      <c r="K19" s="29">
        <v>0</v>
      </c>
      <c r="L19" s="9"/>
      <c r="M19" s="18">
        <f t="shared" ca="1" si="8"/>
        <v>0</v>
      </c>
      <c r="N19" s="18">
        <f t="shared" ca="1" si="9"/>
        <v>0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0</v>
      </c>
      <c r="U19" s="22">
        <f t="shared" ca="1" si="10"/>
        <v>0</v>
      </c>
      <c r="V19" s="22">
        <f t="shared" ca="1" si="10"/>
        <v>0</v>
      </c>
      <c r="W19" s="7">
        <f t="shared" ca="1" si="11"/>
        <v>7</v>
      </c>
      <c r="X19" s="19">
        <f t="shared" ca="1" si="3"/>
        <v>0</v>
      </c>
      <c r="Y19" s="7">
        <f t="shared" ca="1" si="4"/>
        <v>0</v>
      </c>
      <c r="Z19" s="7">
        <f t="shared" ca="1" si="5"/>
        <v>1</v>
      </c>
      <c r="AA19" s="7">
        <f t="shared" ca="1" si="6"/>
        <v>10</v>
      </c>
    </row>
    <row r="20" spans="1:27" ht="15" thickBot="1" x14ac:dyDescent="0.4">
      <c r="A20" s="7">
        <v>18</v>
      </c>
      <c r="B20" s="11">
        <f t="shared" ca="1" si="7"/>
        <v>44122</v>
      </c>
      <c r="C20" s="12">
        <f t="shared" ca="1" si="0"/>
        <v>44122</v>
      </c>
      <c r="E20" s="16" t="s">
        <v>3</v>
      </c>
      <c r="F20" s="23"/>
      <c r="G20" s="16" t="s">
        <v>4</v>
      </c>
      <c r="H20" s="15"/>
      <c r="I20" s="16" t="s">
        <v>30</v>
      </c>
      <c r="J20" s="24"/>
      <c r="K20" s="16" t="s">
        <v>34</v>
      </c>
      <c r="L20" s="9"/>
      <c r="M20" s="18">
        <f t="shared" ca="1" si="8"/>
        <v>0</v>
      </c>
      <c r="N20" s="18">
        <f t="shared" ca="1" si="9"/>
        <v>0</v>
      </c>
      <c r="O20" s="19">
        <f t="shared" ca="1" si="1"/>
        <v>0</v>
      </c>
      <c r="P20" s="9"/>
      <c r="Q20" s="20"/>
      <c r="R20" s="21" t="s">
        <v>8</v>
      </c>
      <c r="T20" s="22">
        <f t="shared" ca="1" si="10"/>
        <v>0</v>
      </c>
      <c r="U20" s="22">
        <f t="shared" ca="1" si="10"/>
        <v>0</v>
      </c>
      <c r="V20" s="22">
        <f t="shared" ca="1" si="10"/>
        <v>0</v>
      </c>
      <c r="W20" s="7">
        <f t="shared" ca="1" si="11"/>
        <v>1</v>
      </c>
      <c r="X20" s="19">
        <f t="shared" ca="1" si="3"/>
        <v>0</v>
      </c>
      <c r="Y20" s="7">
        <f t="shared" ca="1" si="4"/>
        <v>0</v>
      </c>
      <c r="Z20" s="7">
        <f t="shared" ca="1" si="5"/>
        <v>1</v>
      </c>
      <c r="AA20" s="7">
        <f t="shared" ca="1" si="6"/>
        <v>10</v>
      </c>
    </row>
    <row r="21" spans="1:27" ht="15" thickBot="1" x14ac:dyDescent="0.4">
      <c r="A21" s="7">
        <v>19</v>
      </c>
      <c r="B21" s="11">
        <f t="shared" ca="1" si="7"/>
        <v>44123</v>
      </c>
      <c r="C21" s="12">
        <f t="shared" ca="1" si="0"/>
        <v>44123</v>
      </c>
      <c r="D21" s="12"/>
      <c r="E21" s="29">
        <v>0.39583333333333331</v>
      </c>
      <c r="F21" s="23"/>
      <c r="G21" s="29">
        <v>0.58333333333333337</v>
      </c>
      <c r="H21" s="15"/>
      <c r="I21" s="29">
        <v>0.63541666666666663</v>
      </c>
      <c r="J21" s="24"/>
      <c r="K21" s="29">
        <v>0.77083333333333337</v>
      </c>
      <c r="L21" s="9"/>
      <c r="M21" s="18">
        <f t="shared" ca="1" si="8"/>
        <v>0.3229166666666668</v>
      </c>
      <c r="N21" s="18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0.3229166666666668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465</v>
      </c>
      <c r="U21" s="22">
        <f t="shared" ca="1" si="10"/>
        <v>465</v>
      </c>
      <c r="V21" s="22">
        <f t="shared" ca="1" si="10"/>
        <v>0</v>
      </c>
      <c r="W21" s="7">
        <f t="shared" ca="1" si="11"/>
        <v>2</v>
      </c>
      <c r="X21" s="19">
        <f t="shared" ca="1" si="3"/>
        <v>0.33333333333333331</v>
      </c>
      <c r="Y21" s="7">
        <f t="shared" ca="1" si="4"/>
        <v>0</v>
      </c>
      <c r="Z21" s="7">
        <f t="shared" ca="1" si="5"/>
        <v>0</v>
      </c>
      <c r="AA21" s="7">
        <f t="shared" ca="1" si="6"/>
        <v>10</v>
      </c>
    </row>
    <row r="22" spans="1:27" ht="15" thickBot="1" x14ac:dyDescent="0.4">
      <c r="A22" s="7">
        <v>20</v>
      </c>
      <c r="B22" s="11">
        <f t="shared" ca="1" si="7"/>
        <v>44124</v>
      </c>
      <c r="C22" s="12">
        <f t="shared" ca="1" si="0"/>
        <v>44124</v>
      </c>
      <c r="E22" s="29">
        <v>0.39583333333333331</v>
      </c>
      <c r="F22" s="23"/>
      <c r="G22" s="29">
        <v>0.58333333333333337</v>
      </c>
      <c r="H22" s="15"/>
      <c r="I22" s="29">
        <v>0.63541666666666663</v>
      </c>
      <c r="J22" s="24"/>
      <c r="K22" s="29">
        <v>0.77083333333333337</v>
      </c>
      <c r="L22" s="9"/>
      <c r="M22" s="18">
        <f t="shared" ca="1" si="8"/>
        <v>0.3229166666666668</v>
      </c>
      <c r="N22" s="18">
        <f t="shared" ca="1" si="9"/>
        <v>0.3229166666666668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465</v>
      </c>
      <c r="U22" s="22">
        <f t="shared" ca="1" si="10"/>
        <v>465</v>
      </c>
      <c r="V22" s="22">
        <f t="shared" ca="1" si="10"/>
        <v>0</v>
      </c>
      <c r="W22" s="7">
        <f t="shared" ca="1" si="11"/>
        <v>3</v>
      </c>
      <c r="X22" s="19">
        <f t="shared" ca="1" si="3"/>
        <v>0.33333333333333331</v>
      </c>
      <c r="Y22" s="7">
        <f t="shared" ca="1" si="4"/>
        <v>0</v>
      </c>
      <c r="Z22" s="7">
        <f t="shared" ca="1" si="5"/>
        <v>0</v>
      </c>
      <c r="AA22" s="7">
        <f t="shared" ca="1" si="6"/>
        <v>10</v>
      </c>
    </row>
    <row r="23" spans="1:27" ht="15" thickBot="1" x14ac:dyDescent="0.4">
      <c r="A23" s="7">
        <v>21</v>
      </c>
      <c r="B23" s="11">
        <f t="shared" ca="1" si="7"/>
        <v>44125</v>
      </c>
      <c r="C23" s="12">
        <f t="shared" ca="1" si="0"/>
        <v>44125</v>
      </c>
      <c r="D23" s="12"/>
      <c r="E23" s="29">
        <v>0.39583333333333331</v>
      </c>
      <c r="F23" s="23"/>
      <c r="G23" s="29">
        <v>0.58333333333333337</v>
      </c>
      <c r="H23" s="15"/>
      <c r="I23" s="29">
        <v>0.63541666666666663</v>
      </c>
      <c r="J23" s="24"/>
      <c r="K23" s="29">
        <v>0.77083333333333337</v>
      </c>
      <c r="L23" s="9"/>
      <c r="M23" s="18">
        <f t="shared" ca="1" si="8"/>
        <v>0.3229166666666668</v>
      </c>
      <c r="N23" s="18">
        <f t="shared" ca="1" si="9"/>
        <v>0.3229166666666668</v>
      </c>
      <c r="O23" s="19">
        <f t="shared" ca="1" si="1"/>
        <v>0</v>
      </c>
      <c r="P23" s="9"/>
      <c r="Q23" s="30"/>
      <c r="R23" s="21" t="s">
        <v>15</v>
      </c>
      <c r="T23" s="22">
        <f t="shared" ca="1" si="10"/>
        <v>465</v>
      </c>
      <c r="U23" s="22">
        <f t="shared" ca="1" si="10"/>
        <v>465</v>
      </c>
      <c r="V23" s="22">
        <f t="shared" ca="1" si="10"/>
        <v>0</v>
      </c>
      <c r="W23" s="7">
        <f t="shared" ca="1" si="11"/>
        <v>4</v>
      </c>
      <c r="X23" s="19">
        <f t="shared" ca="1" si="3"/>
        <v>0.33333333333333331</v>
      </c>
      <c r="Y23" s="7">
        <f t="shared" ca="1" si="4"/>
        <v>0</v>
      </c>
      <c r="Z23" s="7">
        <f t="shared" ca="1" si="5"/>
        <v>0</v>
      </c>
      <c r="AA23" s="7">
        <f t="shared" ca="1" si="6"/>
        <v>10</v>
      </c>
    </row>
    <row r="24" spans="1:27" ht="15" thickBot="1" x14ac:dyDescent="0.4">
      <c r="A24" s="7">
        <v>22</v>
      </c>
      <c r="B24" s="11">
        <f t="shared" ca="1" si="7"/>
        <v>44126</v>
      </c>
      <c r="C24" s="12">
        <f t="shared" ca="1" si="0"/>
        <v>44126</v>
      </c>
      <c r="E24" s="29">
        <v>0.39583333333333331</v>
      </c>
      <c r="F24" s="23"/>
      <c r="G24" s="29">
        <v>0.58333333333333337</v>
      </c>
      <c r="H24" s="15"/>
      <c r="I24" s="29">
        <v>0.63541666666666663</v>
      </c>
      <c r="J24" s="24"/>
      <c r="K24" s="29">
        <v>0.77083333333333337</v>
      </c>
      <c r="L24" s="9"/>
      <c r="M24" s="18">
        <f t="shared" ca="1" si="8"/>
        <v>0.3229166666666668</v>
      </c>
      <c r="N24" s="18">
        <f t="shared" ca="1" si="9"/>
        <v>0.3229166666666668</v>
      </c>
      <c r="O24" s="19">
        <f t="shared" ca="1" si="1"/>
        <v>0</v>
      </c>
      <c r="P24" s="9"/>
      <c r="Q24" s="30"/>
      <c r="R24" s="21" t="s">
        <v>15</v>
      </c>
      <c r="T24" s="22">
        <f t="shared" ca="1" si="10"/>
        <v>465</v>
      </c>
      <c r="U24" s="22">
        <f t="shared" ca="1" si="10"/>
        <v>465</v>
      </c>
      <c r="V24" s="22">
        <f t="shared" ca="1" si="10"/>
        <v>0</v>
      </c>
      <c r="W24" s="7">
        <f t="shared" ca="1" si="11"/>
        <v>5</v>
      </c>
      <c r="X24" s="19">
        <f t="shared" ca="1" si="3"/>
        <v>0.33333333333333331</v>
      </c>
      <c r="Y24" s="7">
        <f t="shared" ca="1" si="4"/>
        <v>0</v>
      </c>
      <c r="Z24" s="7">
        <f t="shared" ca="1" si="5"/>
        <v>0</v>
      </c>
      <c r="AA24" s="7">
        <f t="shared" ca="1" si="6"/>
        <v>10</v>
      </c>
    </row>
    <row r="25" spans="1:27" ht="15" thickBot="1" x14ac:dyDescent="0.4">
      <c r="A25" s="7">
        <v>23</v>
      </c>
      <c r="B25" s="11">
        <f t="shared" ca="1" si="7"/>
        <v>44127</v>
      </c>
      <c r="C25" s="12">
        <f t="shared" ca="1" si="0"/>
        <v>44127</v>
      </c>
      <c r="D25" s="12"/>
      <c r="E25" s="29">
        <v>0.39583333333333331</v>
      </c>
      <c r="F25" s="23"/>
      <c r="G25" s="29">
        <v>0.73958333333333337</v>
      </c>
      <c r="H25" s="23"/>
      <c r="I25" s="29">
        <v>0</v>
      </c>
      <c r="J25" s="24"/>
      <c r="K25" s="29">
        <v>0</v>
      </c>
      <c r="L25" s="9"/>
      <c r="M25" s="18">
        <f t="shared" ca="1" si="8"/>
        <v>0.34375000000000006</v>
      </c>
      <c r="N25" s="18">
        <f t="shared" ca="1" si="9"/>
        <v>0.25</v>
      </c>
      <c r="O25" s="19">
        <f t="shared" ca="1" si="1"/>
        <v>9.3750000000000056E-2</v>
      </c>
      <c r="P25" s="9"/>
      <c r="Q25" s="30"/>
      <c r="R25" s="21" t="s">
        <v>15</v>
      </c>
      <c r="T25" s="22">
        <f t="shared" ca="1" si="10"/>
        <v>495</v>
      </c>
      <c r="U25" s="22">
        <f t="shared" ca="1" si="10"/>
        <v>360</v>
      </c>
      <c r="V25" s="22">
        <f t="shared" ca="1" si="10"/>
        <v>135</v>
      </c>
      <c r="W25" s="7">
        <f t="shared" ca="1" si="11"/>
        <v>6</v>
      </c>
      <c r="X25" s="19">
        <f t="shared" ca="1" si="3"/>
        <v>0.25</v>
      </c>
      <c r="Y25" s="7">
        <f t="shared" ca="1" si="4"/>
        <v>0</v>
      </c>
      <c r="Z25" s="7">
        <f t="shared" ca="1" si="5"/>
        <v>0</v>
      </c>
      <c r="AA25" s="7">
        <f t="shared" ca="1" si="6"/>
        <v>10</v>
      </c>
    </row>
    <row r="26" spans="1:27" ht="15" thickBot="1" x14ac:dyDescent="0.4">
      <c r="A26" s="7">
        <v>24</v>
      </c>
      <c r="B26" s="11">
        <f t="shared" ca="1" si="7"/>
        <v>44128</v>
      </c>
      <c r="C26" s="12">
        <f t="shared" ca="1" si="0"/>
        <v>44128</v>
      </c>
      <c r="E26" s="29">
        <v>0.79166666666666663</v>
      </c>
      <c r="F26" s="23"/>
      <c r="G26" s="29">
        <v>0.5</v>
      </c>
      <c r="H26" s="23"/>
      <c r="I26" s="16">
        <v>0</v>
      </c>
      <c r="J26" s="24"/>
      <c r="K26" s="29">
        <v>0</v>
      </c>
      <c r="L26" s="9"/>
      <c r="M26" s="18">
        <f t="shared" ca="1" si="8"/>
        <v>0</v>
      </c>
      <c r="N26" s="18">
        <f t="shared" ca="1" si="9"/>
        <v>0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0</v>
      </c>
      <c r="U26" s="22">
        <f t="shared" ca="1" si="10"/>
        <v>0</v>
      </c>
      <c r="V26" s="22">
        <f t="shared" ca="1" si="10"/>
        <v>0</v>
      </c>
      <c r="W26" s="7">
        <f t="shared" ca="1" si="11"/>
        <v>7</v>
      </c>
      <c r="X26" s="19">
        <f t="shared" ca="1" si="3"/>
        <v>0</v>
      </c>
      <c r="Y26" s="7">
        <f t="shared" ca="1" si="4"/>
        <v>0</v>
      </c>
      <c r="Z26" s="7">
        <f t="shared" ca="1" si="5"/>
        <v>1</v>
      </c>
      <c r="AA26" s="7">
        <f t="shared" ca="1" si="6"/>
        <v>10</v>
      </c>
    </row>
    <row r="27" spans="1:27" ht="15" thickBot="1" x14ac:dyDescent="0.4">
      <c r="A27" s="7">
        <v>25</v>
      </c>
      <c r="B27" s="11">
        <f t="shared" ca="1" si="7"/>
        <v>44129</v>
      </c>
      <c r="C27" s="12">
        <f t="shared" ca="1" si="0"/>
        <v>44129</v>
      </c>
      <c r="D27" s="12"/>
      <c r="E27" s="16" t="s">
        <v>3</v>
      </c>
      <c r="F27" s="23"/>
      <c r="G27" s="16" t="s">
        <v>4</v>
      </c>
      <c r="H27" s="15"/>
      <c r="I27" s="16" t="s">
        <v>32</v>
      </c>
      <c r="J27" s="24"/>
      <c r="K27" s="29" t="s">
        <v>36</v>
      </c>
      <c r="L27" s="9"/>
      <c r="M27" s="18">
        <f t="shared" ca="1" si="8"/>
        <v>0</v>
      </c>
      <c r="N27" s="18">
        <f t="shared" ca="1" si="9"/>
        <v>0</v>
      </c>
      <c r="O27" s="19">
        <f t="shared" ca="1" si="1"/>
        <v>0</v>
      </c>
      <c r="P27" s="9"/>
      <c r="Q27" s="20"/>
      <c r="R27" s="21" t="s">
        <v>8</v>
      </c>
      <c r="T27" s="22">
        <f t="shared" ca="1" si="10"/>
        <v>0</v>
      </c>
      <c r="U27" s="22">
        <f t="shared" ca="1" si="10"/>
        <v>0</v>
      </c>
      <c r="V27" s="22">
        <f t="shared" ca="1" si="10"/>
        <v>0</v>
      </c>
      <c r="W27" s="7">
        <f t="shared" ca="1" si="11"/>
        <v>1</v>
      </c>
      <c r="X27" s="19">
        <f t="shared" ca="1" si="3"/>
        <v>0</v>
      </c>
      <c r="Y27" s="7">
        <f t="shared" ca="1" si="4"/>
        <v>0</v>
      </c>
      <c r="Z27" s="7">
        <f t="shared" ca="1" si="5"/>
        <v>1</v>
      </c>
      <c r="AA27" s="7">
        <f t="shared" ca="1" si="6"/>
        <v>10</v>
      </c>
    </row>
    <row r="28" spans="1:27" ht="15" thickBot="1" x14ac:dyDescent="0.4">
      <c r="A28" s="7">
        <v>26</v>
      </c>
      <c r="B28" s="11">
        <f t="shared" ca="1" si="7"/>
        <v>44130</v>
      </c>
      <c r="C28" s="12">
        <f t="shared" ca="1" si="0"/>
        <v>44130</v>
      </c>
      <c r="E28" s="29">
        <v>0.39583333333333331</v>
      </c>
      <c r="F28" s="23"/>
      <c r="G28" s="29">
        <v>0.58333333333333337</v>
      </c>
      <c r="H28" s="15"/>
      <c r="I28" s="29">
        <v>0.63541666666666663</v>
      </c>
      <c r="J28" s="24"/>
      <c r="K28" s="29">
        <v>0.77083333333333337</v>
      </c>
      <c r="L28" s="9"/>
      <c r="M28" s="18">
        <f t="shared" ca="1" si="8"/>
        <v>0.3229166666666668</v>
      </c>
      <c r="N28" s="18">
        <f t="shared" ca="1" si="9"/>
        <v>0.3229166666666668</v>
      </c>
      <c r="O28" s="19">
        <f t="shared" ca="1" si="1"/>
        <v>0</v>
      </c>
      <c r="P28" s="9"/>
      <c r="Q28" s="20"/>
      <c r="R28" s="21" t="s">
        <v>15</v>
      </c>
      <c r="T28" s="22">
        <f t="shared" ca="1" si="10"/>
        <v>465</v>
      </c>
      <c r="U28" s="22">
        <f t="shared" ca="1" si="10"/>
        <v>465</v>
      </c>
      <c r="V28" s="22">
        <f t="shared" ca="1" si="10"/>
        <v>0</v>
      </c>
      <c r="W28" s="7">
        <f t="shared" ca="1" si="11"/>
        <v>2</v>
      </c>
      <c r="X28" s="19">
        <f t="shared" ca="1" si="3"/>
        <v>0.33333333333333331</v>
      </c>
      <c r="Y28" s="7">
        <f t="shared" ca="1" si="4"/>
        <v>0</v>
      </c>
      <c r="Z28" s="7">
        <f t="shared" ca="1" si="5"/>
        <v>0</v>
      </c>
      <c r="AA28" s="7">
        <f t="shared" ca="1" si="6"/>
        <v>10</v>
      </c>
    </row>
    <row r="29" spans="1:27" ht="15" thickBot="1" x14ac:dyDescent="0.4">
      <c r="A29" s="7">
        <v>27</v>
      </c>
      <c r="B29" s="11">
        <f t="shared" ca="1" si="7"/>
        <v>44131</v>
      </c>
      <c r="C29" s="12">
        <f t="shared" ca="1" si="0"/>
        <v>44131</v>
      </c>
      <c r="D29" s="12"/>
      <c r="E29" s="29">
        <v>0.39583333333333331</v>
      </c>
      <c r="F29" s="23"/>
      <c r="G29" s="29">
        <v>0.58333333333333337</v>
      </c>
      <c r="H29" s="15"/>
      <c r="I29" s="29">
        <v>0.63541666666666663</v>
      </c>
      <c r="J29" s="24"/>
      <c r="K29" s="29">
        <v>0.77083333333333337</v>
      </c>
      <c r="L29" s="9"/>
      <c r="M29" s="18">
        <f t="shared" ca="1" si="8"/>
        <v>0.3229166666666668</v>
      </c>
      <c r="N29" s="18">
        <f t="shared" ca="1" si="9"/>
        <v>0.3229166666666668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465</v>
      </c>
      <c r="U29" s="22">
        <f t="shared" ca="1" si="10"/>
        <v>465</v>
      </c>
      <c r="V29" s="22">
        <f t="shared" ca="1" si="10"/>
        <v>0</v>
      </c>
      <c r="W29" s="7">
        <f t="shared" ca="1" si="11"/>
        <v>3</v>
      </c>
      <c r="X29" s="19">
        <f t="shared" ca="1" si="3"/>
        <v>0.33333333333333331</v>
      </c>
      <c r="Y29" s="7">
        <f t="shared" ca="1" si="4"/>
        <v>0</v>
      </c>
      <c r="Z29" s="7">
        <f t="shared" ca="1" si="5"/>
        <v>0</v>
      </c>
      <c r="AA29" s="7">
        <f t="shared" ca="1" si="6"/>
        <v>10</v>
      </c>
    </row>
    <row r="30" spans="1:27" ht="15" thickBot="1" x14ac:dyDescent="0.4">
      <c r="A30" s="7">
        <v>28</v>
      </c>
      <c r="B30" s="11">
        <f t="shared" ca="1" si="7"/>
        <v>44132</v>
      </c>
      <c r="C30" s="12">
        <f t="shared" ca="1" si="0"/>
        <v>44132</v>
      </c>
      <c r="E30" s="29">
        <v>0.39583333333333331</v>
      </c>
      <c r="F30" s="23"/>
      <c r="G30" s="29">
        <v>0.58333333333333337</v>
      </c>
      <c r="H30" s="15"/>
      <c r="I30" s="29">
        <v>0.63541666666666663</v>
      </c>
      <c r="J30" s="24"/>
      <c r="K30" s="29">
        <v>0.77083333333333337</v>
      </c>
      <c r="L30" s="9"/>
      <c r="M30" s="18">
        <f t="shared" ca="1" si="8"/>
        <v>0.3229166666666668</v>
      </c>
      <c r="N30" s="18">
        <f t="shared" ca="1" si="9"/>
        <v>0.3229166666666668</v>
      </c>
      <c r="O30" s="19">
        <f t="shared" ca="1" si="1"/>
        <v>0</v>
      </c>
      <c r="P30" s="9"/>
      <c r="Q30" s="30"/>
      <c r="R30" s="21" t="s">
        <v>15</v>
      </c>
      <c r="T30" s="22">
        <f t="shared" ca="1" si="10"/>
        <v>465</v>
      </c>
      <c r="U30" s="22">
        <f t="shared" ca="1" si="10"/>
        <v>465</v>
      </c>
      <c r="V30" s="22">
        <f t="shared" ca="1" si="10"/>
        <v>0</v>
      </c>
      <c r="W30" s="7">
        <f t="shared" ca="1" si="11"/>
        <v>4</v>
      </c>
      <c r="X30" s="19">
        <f t="shared" ca="1" si="3"/>
        <v>0.33333333333333331</v>
      </c>
      <c r="Y30" s="7">
        <f t="shared" ca="1" si="4"/>
        <v>0</v>
      </c>
      <c r="Z30" s="7">
        <f t="shared" ca="1" si="5"/>
        <v>0</v>
      </c>
      <c r="AA30" s="7">
        <f t="shared" ca="1" si="6"/>
        <v>10</v>
      </c>
    </row>
    <row r="31" spans="1:27" ht="15" thickBot="1" x14ac:dyDescent="0.4">
      <c r="A31" s="7">
        <v>29</v>
      </c>
      <c r="B31" s="11">
        <f t="shared" ca="1" si="7"/>
        <v>44133</v>
      </c>
      <c r="C31" s="12">
        <f t="shared" ca="1" si="0"/>
        <v>44133</v>
      </c>
      <c r="D31" s="12"/>
      <c r="E31" s="29">
        <v>0.39583333333333331</v>
      </c>
      <c r="F31" s="23"/>
      <c r="G31" s="29">
        <v>0.58333333333333337</v>
      </c>
      <c r="H31" s="15"/>
      <c r="I31" s="29">
        <v>0.63541666666666663</v>
      </c>
      <c r="J31" s="24"/>
      <c r="K31" s="29">
        <v>0.77083333333333337</v>
      </c>
      <c r="L31" s="9"/>
      <c r="M31" s="18">
        <f t="shared" ca="1" si="8"/>
        <v>0.3229166666666668</v>
      </c>
      <c r="N31" s="18">
        <f t="shared" ca="1" si="9"/>
        <v>0.3229166666666668</v>
      </c>
      <c r="O31" s="19">
        <f t="shared" ca="1" si="1"/>
        <v>0</v>
      </c>
      <c r="P31" s="9"/>
      <c r="Q31" s="30"/>
      <c r="R31" s="21" t="s">
        <v>15</v>
      </c>
      <c r="T31" s="22">
        <f t="shared" ca="1" si="10"/>
        <v>465</v>
      </c>
      <c r="U31" s="22">
        <f t="shared" ca="1" si="10"/>
        <v>465</v>
      </c>
      <c r="V31" s="22">
        <f t="shared" ca="1" si="10"/>
        <v>0</v>
      </c>
      <c r="W31" s="7">
        <f t="shared" ca="1" si="11"/>
        <v>5</v>
      </c>
      <c r="X31" s="19">
        <f t="shared" ca="1" si="3"/>
        <v>0.33333333333333331</v>
      </c>
      <c r="Y31" s="7">
        <f t="shared" ca="1" si="4"/>
        <v>0</v>
      </c>
      <c r="Z31" s="7">
        <f t="shared" ca="1" si="5"/>
        <v>0</v>
      </c>
      <c r="AA31" s="7">
        <f t="shared" ca="1" si="6"/>
        <v>10</v>
      </c>
    </row>
    <row r="32" spans="1:27" ht="15" thickBot="1" x14ac:dyDescent="0.4">
      <c r="A32" s="7">
        <v>30</v>
      </c>
      <c r="B32" s="11">
        <f t="shared" ca="1" si="7"/>
        <v>44134</v>
      </c>
      <c r="C32" s="12">
        <f t="shared" ca="1" si="0"/>
        <v>44134</v>
      </c>
      <c r="E32" s="29">
        <v>0.375</v>
      </c>
      <c r="F32" s="23"/>
      <c r="G32" s="29">
        <v>0.64583333333333337</v>
      </c>
      <c r="H32" s="15"/>
      <c r="I32" s="29">
        <v>0</v>
      </c>
      <c r="J32" s="24"/>
      <c r="K32" s="29">
        <v>0</v>
      </c>
      <c r="L32" s="9"/>
      <c r="M32" s="18">
        <f t="shared" ca="1" si="8"/>
        <v>0.27083333333333337</v>
      </c>
      <c r="N32" s="18">
        <f t="shared" ca="1" si="9"/>
        <v>0.25</v>
      </c>
      <c r="O32" s="19">
        <f t="shared" ca="1" si="1"/>
        <v>2.083333333333337E-2</v>
      </c>
      <c r="P32" s="9"/>
      <c r="Q32" s="30"/>
      <c r="R32" s="21" t="s">
        <v>15</v>
      </c>
      <c r="T32" s="22">
        <f t="shared" ca="1" si="10"/>
        <v>390</v>
      </c>
      <c r="U32" s="22">
        <f t="shared" ca="1" si="10"/>
        <v>360</v>
      </c>
      <c r="V32" s="22">
        <f t="shared" ca="1" si="10"/>
        <v>30</v>
      </c>
      <c r="W32" s="7">
        <f t="shared" ca="1" si="11"/>
        <v>6</v>
      </c>
      <c r="X32" s="19">
        <f t="shared" ca="1" si="3"/>
        <v>0.25</v>
      </c>
      <c r="Y32" s="7">
        <f t="shared" ca="1" si="4"/>
        <v>0</v>
      </c>
      <c r="Z32" s="7">
        <f t="shared" ca="1" si="5"/>
        <v>0</v>
      </c>
      <c r="AA32" s="7">
        <f t="shared" ca="1" si="6"/>
        <v>10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44135</v>
      </c>
      <c r="E33" s="29">
        <v>0.375</v>
      </c>
      <c r="F33" s="23"/>
      <c r="G33" s="29">
        <v>0.64583333333333337</v>
      </c>
      <c r="H33" s="15"/>
      <c r="I33" s="16">
        <v>0.625</v>
      </c>
      <c r="J33" s="24"/>
      <c r="K33" s="16">
        <v>0.77083333333333337</v>
      </c>
      <c r="L33" s="9"/>
      <c r="M33" s="18">
        <f t="shared" ca="1" si="8"/>
        <v>0</v>
      </c>
      <c r="N33" s="18">
        <f t="shared" ca="1" si="9"/>
        <v>0</v>
      </c>
      <c r="O33" s="19">
        <f t="shared" ca="1" si="1"/>
        <v>0</v>
      </c>
      <c r="P33" s="9"/>
      <c r="Q33" s="20"/>
      <c r="R33" s="21" t="s">
        <v>15</v>
      </c>
      <c r="T33" s="22">
        <f t="shared" ca="1" si="10"/>
        <v>0</v>
      </c>
      <c r="U33" s="22">
        <f t="shared" ca="1" si="10"/>
        <v>0</v>
      </c>
      <c r="V33" s="22">
        <f t="shared" ca="1" si="10"/>
        <v>0</v>
      </c>
      <c r="W33" s="7">
        <f t="shared" ca="1" si="11"/>
        <v>7</v>
      </c>
      <c r="X33" s="19">
        <f t="shared" ca="1" si="3"/>
        <v>0</v>
      </c>
      <c r="Y33" s="7">
        <f t="shared" ca="1" si="4"/>
        <v>0</v>
      </c>
      <c r="Z33" s="7">
        <f t="shared" ca="1" si="5"/>
        <v>1</v>
      </c>
      <c r="AA33" s="7">
        <f t="shared" ca="1" si="6"/>
        <v>10</v>
      </c>
    </row>
    <row r="34" spans="1:27" ht="15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166.75</v>
      </c>
      <c r="N35" s="27">
        <f ca="1">SUM(U3:U33)/60</f>
        <v>157.75</v>
      </c>
      <c r="O35" s="27">
        <f ca="1">SUM(V3:V33)/60</f>
        <v>9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aHQDdQYNL2ap+1o+r8xj4Lo3R4IYN5qRcnyGj9gAU1s/AJ6MLu5ysAwirAihefiDgVAS+hLZUjFfkXq3Npa/1w==" saltValue="bSqdOwJMhEYwz/vs8vep3Q==" spinCount="100000" sheet="1" objects="1" scenarios="1"/>
  <mergeCells count="1">
    <mergeCell ref="B1:C1"/>
  </mergeCells>
  <conditionalFormatting sqref="G3:G33 E3:E33">
    <cfRule type="expression" dxfId="78" priority="5">
      <formula>VALUE(SUBSTITUTE($G3,":",""))&lt;VALUE(SUBSTITUTE($E3,":",""))</formula>
    </cfRule>
  </conditionalFormatting>
  <conditionalFormatting sqref="I3:I33 K3:K33">
    <cfRule type="expression" dxfId="77" priority="9">
      <formula>($K3-$I3)&lt;0</formula>
    </cfRule>
  </conditionalFormatting>
  <conditionalFormatting sqref="O3:O33">
    <cfRule type="cellIs" dxfId="76" priority="8" operator="greaterThan">
      <formula>0.1</formula>
    </cfRule>
    <cfRule type="expression" dxfId="75" priority="15">
      <formula>$R3="Fecha cerrada"</formula>
    </cfRule>
  </conditionalFormatting>
  <conditionalFormatting sqref="N3:N33">
    <cfRule type="expression" dxfId="74" priority="14">
      <formula>VALUE(SUBSTITUTE($G3,":",""))&lt;VALUE(SUBSTITUTE($E3,":",""))</formula>
    </cfRule>
  </conditionalFormatting>
  <conditionalFormatting sqref="N3:N33">
    <cfRule type="expression" dxfId="73" priority="13">
      <formula>$R3="Fecha cerrada"</formula>
    </cfRule>
  </conditionalFormatting>
  <conditionalFormatting sqref="X3:X33">
    <cfRule type="expression" dxfId="72" priority="12">
      <formula>VALUE(SUBSTITUTE($G3,":",""))&lt;VALUE(SUBSTITUTE($E3,":",""))</formula>
    </cfRule>
  </conditionalFormatting>
  <conditionalFormatting sqref="X3:X33">
    <cfRule type="expression" dxfId="71" priority="11">
      <formula>$R3="Fecha cerrada"</formula>
    </cfRule>
  </conditionalFormatting>
  <conditionalFormatting sqref="Q3:R33 N3:O33 E3:K33">
    <cfRule type="expression" dxfId="70" priority="1">
      <formula>OR($W3=1,$W3=7,$AA3&lt;&gt;_xlfn.SHEET($A$1),,IFERROR(VLOOKUP($C3,DiasVacaciones,1,FALSE+$O$14:$Q$14),0)&lt;&gt;0)</formula>
    </cfRule>
  </conditionalFormatting>
  <conditionalFormatting sqref="R3:R33">
    <cfRule type="cellIs" dxfId="69" priority="6" operator="equal">
      <formula>"Confirmar Fecha"</formula>
    </cfRule>
    <cfRule type="cellIs" dxfId="68" priority="7" operator="equal">
      <formula>"Confirmada"</formula>
    </cfRule>
  </conditionalFormatting>
  <conditionalFormatting sqref="M3:M33">
    <cfRule type="expression" dxfId="67" priority="4">
      <formula>VALUE(SUBSTITUTE($G3,":",""))&lt;VALUE(SUBSTITUTE($E3,":",""))</formula>
    </cfRule>
  </conditionalFormatting>
  <conditionalFormatting sqref="M3:M33">
    <cfRule type="expression" dxfId="66" priority="3">
      <formula>$R3="Fecha cerrada"</formula>
    </cfRule>
  </conditionalFormatting>
  <conditionalFormatting sqref="M3:M33">
    <cfRule type="expression" dxfId="65" priority="2">
      <formula>OR($W3=1,$W3=7,$Z3=1,$AA3&lt;&gt;_xlfn.SHEET($A$1))</formula>
    </cfRule>
  </conditionalFormatting>
  <conditionalFormatting sqref="E3:E33 G3:G33 I3:I33 K3:K33">
    <cfRule type="expression" dxfId="64" priority="10">
      <formula>$R3="Confirmada"</formula>
    </cfRule>
    <cfRule type="expression" dxfId="63" priority="16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G3:G33 K3:K33 I3:I33 E3:E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A39"/>
  <sheetViews>
    <sheetView showGridLines="0" workbookViewId="0">
      <selection activeCell="K33" sqref="K3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customWidth="1"/>
    <col min="20" max="20" width="6.26953125" style="7" hidden="1" customWidth="1"/>
    <col min="21" max="21" width="7.90625" style="7" hidden="1" customWidth="1"/>
    <col min="22" max="22" width="7.36328125" style="7" hidden="1" customWidth="1"/>
    <col min="23" max="24" width="10.90625" style="7" hidden="1" customWidth="1"/>
    <col min="25" max="25" width="11.1796875" style="7" hidden="1" customWidth="1"/>
    <col min="26" max="27" width="0" style="7" hidden="1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44136</v>
      </c>
      <c r="C3" s="12">
        <f t="shared" ref="C3:C33" ca="1" si="0">DATE(Anualidad,_xlfn.SHEET(B1),A3)</f>
        <v>44136</v>
      </c>
      <c r="D3" s="12"/>
      <c r="E3" s="13">
        <v>0.82291666666666663</v>
      </c>
      <c r="F3" s="14"/>
      <c r="G3" s="13" t="s">
        <v>39</v>
      </c>
      <c r="H3" s="15"/>
      <c r="I3" s="29" t="s">
        <v>38</v>
      </c>
      <c r="J3" s="17"/>
      <c r="K3" s="16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8</v>
      </c>
      <c r="T3" s="22">
        <f ca="1">MINUTE(M3)+(HOUR(M3)*60)</f>
        <v>0</v>
      </c>
      <c r="U3" s="22">
        <f t="shared" ref="U3:V18" ca="1" si="2">MINUTE(N3)+(HOUR(N3)*60)</f>
        <v>0</v>
      </c>
      <c r="V3" s="22">
        <f t="shared" ca="1" si="2"/>
        <v>0</v>
      </c>
      <c r="W3" s="7">
        <f ca="1">WEEKDAY(C3)</f>
        <v>1</v>
      </c>
      <c r="X3" s="19">
        <f t="shared" ref="X3:X33" ca="1" si="3">IF(AND(W3&lt;&gt;7,W3&lt;&gt;1),IF(W3=DiaSemanaIntensiva,HorasIntensiva,HorasOrdinarias),0)</f>
        <v>0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1</v>
      </c>
      <c r="AA3" s="7">
        <f t="shared" ref="AA3:AA33" ca="1" si="6">MONTH(C3)</f>
        <v>11</v>
      </c>
    </row>
    <row r="4" spans="1:27" ht="15" thickBot="1" x14ac:dyDescent="0.4">
      <c r="A4" s="7">
        <v>2</v>
      </c>
      <c r="B4" s="11">
        <f t="shared" ref="B4:B32" ca="1" si="7">C4</f>
        <v>44137</v>
      </c>
      <c r="C4" s="12">
        <f t="shared" ca="1" si="0"/>
        <v>44137</v>
      </c>
      <c r="E4" s="29">
        <v>0.39583333333333331</v>
      </c>
      <c r="F4" s="23"/>
      <c r="G4" s="29">
        <v>0.58333333333333337</v>
      </c>
      <c r="H4" s="15"/>
      <c r="I4" s="29">
        <v>0.63541666666666663</v>
      </c>
      <c r="J4" s="24"/>
      <c r="K4" s="29">
        <v>0.77083333333333337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0.3229166666666668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0.3229166666666668</v>
      </c>
      <c r="O4" s="19">
        <f t="shared" ca="1" si="1"/>
        <v>0</v>
      </c>
      <c r="P4" s="9"/>
      <c r="Q4" s="30"/>
      <c r="R4" s="21" t="s">
        <v>15</v>
      </c>
      <c r="T4" s="22">
        <f t="shared" ref="T4:V33" ca="1" si="10">MINUTE(M4)+(HOUR(M4)*60)</f>
        <v>465</v>
      </c>
      <c r="U4" s="22">
        <f t="shared" ca="1" si="2"/>
        <v>465</v>
      </c>
      <c r="V4" s="22">
        <f t="shared" ca="1" si="2"/>
        <v>0</v>
      </c>
      <c r="W4" s="7">
        <f t="shared" ref="W4:W33" ca="1" si="11">WEEKDAY(C4)</f>
        <v>2</v>
      </c>
      <c r="X4" s="19">
        <f t="shared" ca="1" si="3"/>
        <v>0.33333333333333331</v>
      </c>
      <c r="Y4" s="7">
        <f t="shared" ca="1" si="4"/>
        <v>0</v>
      </c>
      <c r="Z4" s="7">
        <f t="shared" ca="1" si="5"/>
        <v>0</v>
      </c>
      <c r="AA4" s="7">
        <f t="shared" ca="1" si="6"/>
        <v>11</v>
      </c>
    </row>
    <row r="5" spans="1:27" ht="15" thickBot="1" x14ac:dyDescent="0.4">
      <c r="A5" s="7">
        <v>3</v>
      </c>
      <c r="B5" s="11">
        <f t="shared" ca="1" si="7"/>
        <v>44138</v>
      </c>
      <c r="C5" s="12">
        <f t="shared" ca="1" si="0"/>
        <v>44138</v>
      </c>
      <c r="D5" s="12"/>
      <c r="E5" s="29">
        <v>0.39583333333333331</v>
      </c>
      <c r="F5" s="23"/>
      <c r="G5" s="29">
        <v>0.58333333333333337</v>
      </c>
      <c r="H5" s="15"/>
      <c r="I5" s="29">
        <v>0.63541666666666663</v>
      </c>
      <c r="J5" s="24"/>
      <c r="K5" s="29">
        <v>0.77083333333333337</v>
      </c>
      <c r="L5" s="9"/>
      <c r="M5" s="18">
        <f t="shared" ca="1" si="8"/>
        <v>0.3229166666666668</v>
      </c>
      <c r="N5" s="18">
        <f t="shared" ca="1" si="9"/>
        <v>0.3229166666666668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465</v>
      </c>
      <c r="U5" s="22">
        <f t="shared" ca="1" si="2"/>
        <v>465</v>
      </c>
      <c r="V5" s="22">
        <f t="shared" ca="1" si="2"/>
        <v>0</v>
      </c>
      <c r="W5" s="7">
        <f t="shared" ca="1" si="11"/>
        <v>3</v>
      </c>
      <c r="X5" s="19">
        <f t="shared" ca="1" si="3"/>
        <v>0.33333333333333331</v>
      </c>
      <c r="Y5" s="7">
        <f t="shared" ca="1" si="4"/>
        <v>0</v>
      </c>
      <c r="Z5" s="7">
        <f t="shared" ca="1" si="5"/>
        <v>0</v>
      </c>
      <c r="AA5" s="7">
        <f t="shared" ca="1" si="6"/>
        <v>11</v>
      </c>
    </row>
    <row r="6" spans="1:27" ht="15" thickBot="1" x14ac:dyDescent="0.4">
      <c r="A6" s="7">
        <v>4</v>
      </c>
      <c r="B6" s="11">
        <f t="shared" ca="1" si="7"/>
        <v>44139</v>
      </c>
      <c r="C6" s="12">
        <f t="shared" ca="1" si="0"/>
        <v>44139</v>
      </c>
      <c r="E6" s="29">
        <v>0.39583333333333331</v>
      </c>
      <c r="F6" s="23"/>
      <c r="G6" s="29">
        <v>0.58333333333333337</v>
      </c>
      <c r="H6" s="15"/>
      <c r="I6" s="29">
        <v>0.63541666666666663</v>
      </c>
      <c r="J6" s="24"/>
      <c r="K6" s="29">
        <v>0.77083333333333337</v>
      </c>
      <c r="L6" s="9"/>
      <c r="M6" s="18">
        <f t="shared" ca="1" si="8"/>
        <v>0.3229166666666668</v>
      </c>
      <c r="N6" s="18">
        <f t="shared" ca="1" si="9"/>
        <v>0.3229166666666668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465</v>
      </c>
      <c r="U6" s="22">
        <f t="shared" ca="1" si="2"/>
        <v>465</v>
      </c>
      <c r="V6" s="22">
        <f t="shared" ca="1" si="2"/>
        <v>0</v>
      </c>
      <c r="W6" s="7">
        <f t="shared" ca="1" si="11"/>
        <v>4</v>
      </c>
      <c r="X6" s="19">
        <f t="shared" ca="1" si="3"/>
        <v>0.33333333333333331</v>
      </c>
      <c r="Y6" s="7">
        <f t="shared" ca="1" si="4"/>
        <v>0</v>
      </c>
      <c r="Z6" s="7">
        <f t="shared" ca="1" si="5"/>
        <v>0</v>
      </c>
      <c r="AA6" s="7">
        <f t="shared" ca="1" si="6"/>
        <v>11</v>
      </c>
    </row>
    <row r="7" spans="1:27" ht="15" thickBot="1" x14ac:dyDescent="0.4">
      <c r="A7" s="7">
        <v>5</v>
      </c>
      <c r="B7" s="11">
        <f t="shared" ca="1" si="7"/>
        <v>44140</v>
      </c>
      <c r="C7" s="12">
        <f t="shared" ca="1" si="0"/>
        <v>44140</v>
      </c>
      <c r="D7" s="12"/>
      <c r="E7" s="29">
        <v>0.39583333333333331</v>
      </c>
      <c r="F7" s="23"/>
      <c r="G7" s="29">
        <v>0.58333333333333337</v>
      </c>
      <c r="H7" s="15"/>
      <c r="I7" s="29">
        <v>0.63541666666666663</v>
      </c>
      <c r="J7" s="24"/>
      <c r="K7" s="29">
        <v>0.77083333333333337</v>
      </c>
      <c r="L7" s="9"/>
      <c r="M7" s="18">
        <f t="shared" ca="1" si="8"/>
        <v>0.3229166666666668</v>
      </c>
      <c r="N7" s="18">
        <f t="shared" ca="1" si="9"/>
        <v>0.3229166666666668</v>
      </c>
      <c r="O7" s="19">
        <f t="shared" ca="1" si="1"/>
        <v>0</v>
      </c>
      <c r="P7" s="9"/>
      <c r="Q7" s="30"/>
      <c r="R7" s="21" t="s">
        <v>15</v>
      </c>
      <c r="T7" s="22">
        <f t="shared" ca="1" si="10"/>
        <v>465</v>
      </c>
      <c r="U7" s="22">
        <f t="shared" ca="1" si="2"/>
        <v>465</v>
      </c>
      <c r="V7" s="22">
        <f t="shared" ca="1" si="2"/>
        <v>0</v>
      </c>
      <c r="W7" s="7">
        <f t="shared" ca="1" si="11"/>
        <v>5</v>
      </c>
      <c r="X7" s="19">
        <f t="shared" ca="1" si="3"/>
        <v>0.33333333333333331</v>
      </c>
      <c r="Y7" s="7">
        <f t="shared" ca="1" si="4"/>
        <v>0</v>
      </c>
      <c r="Z7" s="7">
        <f t="shared" ca="1" si="5"/>
        <v>0</v>
      </c>
      <c r="AA7" s="7">
        <f t="shared" ca="1" si="6"/>
        <v>11</v>
      </c>
    </row>
    <row r="8" spans="1:27" ht="15" thickBot="1" x14ac:dyDescent="0.4">
      <c r="A8" s="7">
        <v>6</v>
      </c>
      <c r="B8" s="11">
        <f t="shared" ca="1" si="7"/>
        <v>44141</v>
      </c>
      <c r="C8" s="12">
        <f t="shared" ca="1" si="0"/>
        <v>44141</v>
      </c>
      <c r="E8" s="29">
        <v>0.39583333333333331</v>
      </c>
      <c r="F8" s="23"/>
      <c r="G8" s="29">
        <v>0.5</v>
      </c>
      <c r="H8" s="15"/>
      <c r="I8" s="29">
        <v>0</v>
      </c>
      <c r="J8" s="24"/>
      <c r="K8" s="29">
        <v>0</v>
      </c>
      <c r="L8" s="9"/>
      <c r="M8" s="18">
        <f t="shared" ca="1" si="8"/>
        <v>0.10416666666666669</v>
      </c>
      <c r="N8" s="18">
        <f t="shared" ca="1" si="9"/>
        <v>0.10416666666666669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150</v>
      </c>
      <c r="U8" s="22">
        <f t="shared" ca="1" si="2"/>
        <v>150</v>
      </c>
      <c r="V8" s="22">
        <f t="shared" ca="1" si="2"/>
        <v>0</v>
      </c>
      <c r="W8" s="7">
        <f t="shared" ca="1" si="11"/>
        <v>6</v>
      </c>
      <c r="X8" s="19">
        <f t="shared" ca="1" si="3"/>
        <v>0.25</v>
      </c>
      <c r="Y8" s="7">
        <f t="shared" ca="1" si="4"/>
        <v>0</v>
      </c>
      <c r="Z8" s="7">
        <f t="shared" ca="1" si="5"/>
        <v>0</v>
      </c>
      <c r="AA8" s="7">
        <f t="shared" ca="1" si="6"/>
        <v>11</v>
      </c>
    </row>
    <row r="9" spans="1:27" ht="15" thickBot="1" x14ac:dyDescent="0.4">
      <c r="A9" s="7">
        <v>7</v>
      </c>
      <c r="B9" s="11">
        <f t="shared" ca="1" si="7"/>
        <v>44142</v>
      </c>
      <c r="C9" s="12">
        <f t="shared" ca="1" si="0"/>
        <v>44142</v>
      </c>
      <c r="D9" s="12"/>
      <c r="E9" s="29">
        <v>0.39583333333333331</v>
      </c>
      <c r="F9" s="23"/>
      <c r="G9" s="29">
        <v>0.73958333333333337</v>
      </c>
      <c r="H9" s="23"/>
      <c r="I9" s="29">
        <v>0</v>
      </c>
      <c r="J9" s="24"/>
      <c r="K9" s="29">
        <v>0</v>
      </c>
      <c r="L9" s="9"/>
      <c r="M9" s="18">
        <f t="shared" ca="1" si="8"/>
        <v>0</v>
      </c>
      <c r="N9" s="18">
        <f t="shared" ca="1" si="9"/>
        <v>0</v>
      </c>
      <c r="O9" s="19">
        <f t="shared" ca="1" si="1"/>
        <v>0</v>
      </c>
      <c r="P9" s="9"/>
      <c r="Q9" s="30"/>
      <c r="R9" s="21" t="s">
        <v>15</v>
      </c>
      <c r="T9" s="22">
        <f t="shared" ca="1" si="10"/>
        <v>0</v>
      </c>
      <c r="U9" s="22">
        <f t="shared" ca="1" si="2"/>
        <v>0</v>
      </c>
      <c r="V9" s="22">
        <f t="shared" ca="1" si="2"/>
        <v>0</v>
      </c>
      <c r="W9" s="7">
        <f t="shared" ca="1" si="11"/>
        <v>7</v>
      </c>
      <c r="X9" s="19">
        <f t="shared" ca="1" si="3"/>
        <v>0</v>
      </c>
      <c r="Y9" s="7">
        <f t="shared" ca="1" si="4"/>
        <v>0</v>
      </c>
      <c r="Z9" s="7">
        <f t="shared" ca="1" si="5"/>
        <v>1</v>
      </c>
      <c r="AA9" s="7">
        <f t="shared" ca="1" si="6"/>
        <v>11</v>
      </c>
    </row>
    <row r="10" spans="1:27" ht="15" thickBot="1" x14ac:dyDescent="0.4">
      <c r="A10" s="7">
        <v>8</v>
      </c>
      <c r="B10" s="11">
        <f t="shared" ca="1" si="7"/>
        <v>44143</v>
      </c>
      <c r="C10" s="12">
        <f t="shared" ca="1" si="0"/>
        <v>44143</v>
      </c>
      <c r="E10" s="29">
        <v>0.34375</v>
      </c>
      <c r="F10" s="23"/>
      <c r="G10" s="29">
        <v>0.73958333333333337</v>
      </c>
      <c r="H10" s="23"/>
      <c r="I10" s="29">
        <v>0</v>
      </c>
      <c r="J10" s="24"/>
      <c r="K10" s="29">
        <v>0.52083333333333337</v>
      </c>
      <c r="L10" s="9"/>
      <c r="M10" s="18">
        <f t="shared" ca="1" si="8"/>
        <v>0</v>
      </c>
      <c r="N10" s="18">
        <f t="shared" ca="1" si="9"/>
        <v>0</v>
      </c>
      <c r="O10" s="19">
        <f t="shared" ca="1" si="1"/>
        <v>0</v>
      </c>
      <c r="P10" s="9"/>
      <c r="Q10" s="20"/>
      <c r="R10" s="21" t="s">
        <v>15</v>
      </c>
      <c r="T10" s="22">
        <f t="shared" ca="1" si="10"/>
        <v>0</v>
      </c>
      <c r="U10" s="22">
        <f t="shared" ca="1" si="2"/>
        <v>0</v>
      </c>
      <c r="V10" s="22">
        <f t="shared" ca="1" si="2"/>
        <v>0</v>
      </c>
      <c r="W10" s="7">
        <f t="shared" ca="1" si="11"/>
        <v>1</v>
      </c>
      <c r="X10" s="19">
        <f t="shared" ca="1" si="3"/>
        <v>0</v>
      </c>
      <c r="Y10" s="7">
        <f t="shared" ca="1" si="4"/>
        <v>0</v>
      </c>
      <c r="Z10" s="7">
        <f t="shared" ca="1" si="5"/>
        <v>1</v>
      </c>
      <c r="AA10" s="7">
        <f t="shared" ca="1" si="6"/>
        <v>11</v>
      </c>
    </row>
    <row r="11" spans="1:27" ht="15" thickBot="1" x14ac:dyDescent="0.4">
      <c r="A11" s="7">
        <v>9</v>
      </c>
      <c r="B11" s="11">
        <f t="shared" ca="1" si="7"/>
        <v>44144</v>
      </c>
      <c r="C11" s="12">
        <f t="shared" ca="1" si="0"/>
        <v>44144</v>
      </c>
      <c r="D11" s="12"/>
      <c r="E11" s="29">
        <v>0.39583333333333331</v>
      </c>
      <c r="F11" s="23"/>
      <c r="G11" s="29">
        <v>0.58333333333333337</v>
      </c>
      <c r="H11" s="15"/>
      <c r="I11" s="29">
        <v>0.63541666666666663</v>
      </c>
      <c r="J11" s="24"/>
      <c r="K11" s="29">
        <v>0.77083333333333337</v>
      </c>
      <c r="L11" s="9"/>
      <c r="M11" s="18">
        <f t="shared" ca="1" si="8"/>
        <v>0.3229166666666668</v>
      </c>
      <c r="N11" s="18">
        <f t="shared" ca="1" si="9"/>
        <v>0.3229166666666668</v>
      </c>
      <c r="O11" s="19">
        <f t="shared" ca="1" si="1"/>
        <v>0</v>
      </c>
      <c r="P11" s="9"/>
      <c r="Q11" s="30"/>
      <c r="R11" s="21" t="s">
        <v>15</v>
      </c>
      <c r="T11" s="22">
        <f t="shared" ca="1" si="10"/>
        <v>465</v>
      </c>
      <c r="U11" s="22">
        <f t="shared" ca="1" si="2"/>
        <v>465</v>
      </c>
      <c r="V11" s="22">
        <f t="shared" ca="1" si="2"/>
        <v>0</v>
      </c>
      <c r="W11" s="7">
        <f t="shared" ca="1" si="11"/>
        <v>2</v>
      </c>
      <c r="X11" s="19">
        <f t="shared" ca="1" si="3"/>
        <v>0.33333333333333331</v>
      </c>
      <c r="Y11" s="7">
        <f t="shared" ca="1" si="4"/>
        <v>0</v>
      </c>
      <c r="Z11" s="7">
        <f t="shared" ca="1" si="5"/>
        <v>0</v>
      </c>
      <c r="AA11" s="7">
        <f t="shared" ca="1" si="6"/>
        <v>11</v>
      </c>
    </row>
    <row r="12" spans="1:27" ht="15" thickBot="1" x14ac:dyDescent="0.4">
      <c r="A12" s="7">
        <v>10</v>
      </c>
      <c r="B12" s="11">
        <f t="shared" ca="1" si="7"/>
        <v>44145</v>
      </c>
      <c r="C12" s="12">
        <f t="shared" ca="1" si="0"/>
        <v>44145</v>
      </c>
      <c r="E12" s="29">
        <v>0.39583333333333331</v>
      </c>
      <c r="F12" s="23"/>
      <c r="G12" s="29">
        <v>0.58333333333333337</v>
      </c>
      <c r="H12" s="15"/>
      <c r="I12" s="29">
        <v>0.63541666666666663</v>
      </c>
      <c r="J12" s="24"/>
      <c r="K12" s="29">
        <v>0.77083333333333337</v>
      </c>
      <c r="L12" s="9"/>
      <c r="M12" s="18">
        <f t="shared" ca="1" si="8"/>
        <v>0.3229166666666668</v>
      </c>
      <c r="N12" s="18">
        <f t="shared" ca="1" si="9"/>
        <v>0.3229166666666668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465</v>
      </c>
      <c r="U12" s="22">
        <f t="shared" ca="1" si="2"/>
        <v>465</v>
      </c>
      <c r="V12" s="22">
        <f t="shared" ca="1" si="2"/>
        <v>0</v>
      </c>
      <c r="W12" s="7">
        <f t="shared" ca="1" si="11"/>
        <v>3</v>
      </c>
      <c r="X12" s="19">
        <f t="shared" ca="1" si="3"/>
        <v>0.33333333333333331</v>
      </c>
      <c r="Y12" s="7">
        <f t="shared" ca="1" si="4"/>
        <v>0</v>
      </c>
      <c r="Z12" s="7">
        <f t="shared" ca="1" si="5"/>
        <v>0</v>
      </c>
      <c r="AA12" s="7">
        <f t="shared" ca="1" si="6"/>
        <v>11</v>
      </c>
    </row>
    <row r="13" spans="1:27" ht="15" thickBot="1" x14ac:dyDescent="0.4">
      <c r="A13" s="7">
        <v>11</v>
      </c>
      <c r="B13" s="11">
        <f t="shared" ca="1" si="7"/>
        <v>44146</v>
      </c>
      <c r="C13" s="12">
        <f t="shared" ca="1" si="0"/>
        <v>44146</v>
      </c>
      <c r="D13" s="12"/>
      <c r="E13" s="29">
        <v>0.39583333333333331</v>
      </c>
      <c r="F13" s="23"/>
      <c r="G13" s="29">
        <v>0.58333333333333337</v>
      </c>
      <c r="H13" s="15"/>
      <c r="I13" s="29">
        <v>0.63541666666666663</v>
      </c>
      <c r="J13" s="24"/>
      <c r="K13" s="29">
        <v>0.77083333333333337</v>
      </c>
      <c r="L13" s="9"/>
      <c r="M13" s="18">
        <f t="shared" ca="1" si="8"/>
        <v>0.3229166666666668</v>
      </c>
      <c r="N13" s="18">
        <f t="shared" ca="1" si="9"/>
        <v>0.3229166666666668</v>
      </c>
      <c r="O13" s="19">
        <f t="shared" ca="1" si="1"/>
        <v>0</v>
      </c>
      <c r="P13" s="9"/>
      <c r="Q13" s="20"/>
      <c r="R13" s="21" t="s">
        <v>15</v>
      </c>
      <c r="T13" s="22">
        <f t="shared" ca="1" si="10"/>
        <v>465</v>
      </c>
      <c r="U13" s="22">
        <f t="shared" ca="1" si="2"/>
        <v>465</v>
      </c>
      <c r="V13" s="22">
        <f t="shared" ca="1" si="2"/>
        <v>0</v>
      </c>
      <c r="W13" s="7">
        <f t="shared" ca="1" si="11"/>
        <v>4</v>
      </c>
      <c r="X13" s="19">
        <f t="shared" ca="1" si="3"/>
        <v>0.33333333333333331</v>
      </c>
      <c r="Y13" s="7">
        <f t="shared" ca="1" si="4"/>
        <v>0</v>
      </c>
      <c r="Z13" s="7">
        <f t="shared" ca="1" si="5"/>
        <v>0</v>
      </c>
      <c r="AA13" s="7">
        <f t="shared" ca="1" si="6"/>
        <v>11</v>
      </c>
    </row>
    <row r="14" spans="1:27" ht="15" thickBot="1" x14ac:dyDescent="0.4">
      <c r="A14" s="7">
        <v>12</v>
      </c>
      <c r="B14" s="11">
        <f t="shared" ca="1" si="7"/>
        <v>44147</v>
      </c>
      <c r="C14" s="12">
        <f t="shared" ca="1" si="0"/>
        <v>44147</v>
      </c>
      <c r="E14" s="29">
        <v>0.39583333333333331</v>
      </c>
      <c r="F14" s="23"/>
      <c r="G14" s="29">
        <v>0.58333333333333337</v>
      </c>
      <c r="H14" s="15"/>
      <c r="I14" s="29">
        <v>0.63541666666666663</v>
      </c>
      <c r="J14" s="24"/>
      <c r="K14" s="29">
        <v>0.77083333333333337</v>
      </c>
      <c r="L14" s="9"/>
      <c r="M14" s="18">
        <f t="shared" ca="1" si="8"/>
        <v>0.3229166666666668</v>
      </c>
      <c r="N14" s="18">
        <f t="shared" ca="1" si="9"/>
        <v>0.3229166666666668</v>
      </c>
      <c r="O14" s="19">
        <f t="shared" ca="1" si="1"/>
        <v>0</v>
      </c>
      <c r="P14" s="9"/>
      <c r="Q14" s="20"/>
      <c r="R14" s="21" t="s">
        <v>15</v>
      </c>
      <c r="T14" s="22">
        <f t="shared" ca="1" si="10"/>
        <v>465</v>
      </c>
      <c r="U14" s="22">
        <f t="shared" ca="1" si="2"/>
        <v>465</v>
      </c>
      <c r="V14" s="22">
        <f t="shared" ca="1" si="2"/>
        <v>0</v>
      </c>
      <c r="W14" s="7">
        <f t="shared" ca="1" si="11"/>
        <v>5</v>
      </c>
      <c r="X14" s="19">
        <f t="shared" ca="1" si="3"/>
        <v>0.33333333333333331</v>
      </c>
      <c r="Y14" s="7">
        <f t="shared" ca="1" si="4"/>
        <v>0</v>
      </c>
      <c r="Z14" s="7">
        <f t="shared" ca="1" si="5"/>
        <v>0</v>
      </c>
      <c r="AA14" s="7">
        <f t="shared" ca="1" si="6"/>
        <v>11</v>
      </c>
    </row>
    <row r="15" spans="1:27" ht="15" thickBot="1" x14ac:dyDescent="0.4">
      <c r="A15" s="7">
        <v>13</v>
      </c>
      <c r="B15" s="11">
        <f t="shared" ca="1" si="7"/>
        <v>44148</v>
      </c>
      <c r="C15" s="12">
        <f t="shared" ca="1" si="0"/>
        <v>44148</v>
      </c>
      <c r="D15" s="12"/>
      <c r="E15" s="29">
        <v>0.39583333333333331</v>
      </c>
      <c r="F15" s="23"/>
      <c r="G15" s="29">
        <v>0.5</v>
      </c>
      <c r="H15" s="15"/>
      <c r="I15" s="29">
        <v>0</v>
      </c>
      <c r="J15" s="24"/>
      <c r="K15" s="29">
        <v>0</v>
      </c>
      <c r="L15" s="9"/>
      <c r="M15" s="18">
        <f t="shared" ca="1" si="8"/>
        <v>0.10416666666666669</v>
      </c>
      <c r="N15" s="18">
        <f t="shared" ca="1" si="9"/>
        <v>0.10416666666666669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150</v>
      </c>
      <c r="U15" s="22">
        <f t="shared" ca="1" si="2"/>
        <v>150</v>
      </c>
      <c r="V15" s="22">
        <f t="shared" ca="1" si="2"/>
        <v>0</v>
      </c>
      <c r="W15" s="7">
        <f t="shared" ca="1" si="11"/>
        <v>6</v>
      </c>
      <c r="X15" s="19">
        <f t="shared" ca="1" si="3"/>
        <v>0.25</v>
      </c>
      <c r="Y15" s="7">
        <f t="shared" ca="1" si="4"/>
        <v>0</v>
      </c>
      <c r="Z15" s="7">
        <f t="shared" ca="1" si="5"/>
        <v>0</v>
      </c>
      <c r="AA15" s="7">
        <f t="shared" ca="1" si="6"/>
        <v>11</v>
      </c>
    </row>
    <row r="16" spans="1:27" ht="15" thickBot="1" x14ac:dyDescent="0.4">
      <c r="A16" s="7">
        <v>14</v>
      </c>
      <c r="B16" s="11">
        <f t="shared" ca="1" si="7"/>
        <v>44149</v>
      </c>
      <c r="C16" s="12">
        <f t="shared" ca="1" si="0"/>
        <v>44149</v>
      </c>
      <c r="E16" s="29">
        <v>0.39583333333333331</v>
      </c>
      <c r="F16" s="23"/>
      <c r="G16" s="29">
        <v>0.73958333333333337</v>
      </c>
      <c r="H16" s="15"/>
      <c r="I16" s="29">
        <v>0</v>
      </c>
      <c r="J16" s="24"/>
      <c r="K16" s="29">
        <v>0</v>
      </c>
      <c r="L16" s="9"/>
      <c r="M16" s="18">
        <f t="shared" ca="1" si="8"/>
        <v>0</v>
      </c>
      <c r="N16" s="18">
        <f t="shared" ca="1" si="9"/>
        <v>0</v>
      </c>
      <c r="O16" s="19">
        <f t="shared" ca="1" si="1"/>
        <v>0</v>
      </c>
      <c r="P16" s="9"/>
      <c r="Q16" s="30"/>
      <c r="R16" s="21" t="s">
        <v>15</v>
      </c>
      <c r="T16" s="22">
        <f t="shared" ca="1" si="10"/>
        <v>0</v>
      </c>
      <c r="U16" s="22">
        <f t="shared" ca="1" si="2"/>
        <v>0</v>
      </c>
      <c r="V16" s="22">
        <f t="shared" ca="1" si="2"/>
        <v>0</v>
      </c>
      <c r="W16" s="7">
        <f t="shared" ca="1" si="11"/>
        <v>7</v>
      </c>
      <c r="X16" s="19">
        <f t="shared" ca="1" si="3"/>
        <v>0</v>
      </c>
      <c r="Y16" s="7">
        <f t="shared" ca="1" si="4"/>
        <v>0</v>
      </c>
      <c r="Z16" s="7">
        <f t="shared" ca="1" si="5"/>
        <v>1</v>
      </c>
      <c r="AA16" s="7">
        <f t="shared" ca="1" si="6"/>
        <v>11</v>
      </c>
    </row>
    <row r="17" spans="1:27" ht="15" thickBot="1" x14ac:dyDescent="0.4">
      <c r="A17" s="7">
        <v>15</v>
      </c>
      <c r="B17" s="11">
        <f t="shared" ca="1" si="7"/>
        <v>44150</v>
      </c>
      <c r="C17" s="12">
        <f t="shared" ca="1" si="0"/>
        <v>44150</v>
      </c>
      <c r="D17" s="12"/>
      <c r="E17" s="29">
        <v>0.34375</v>
      </c>
      <c r="F17" s="23"/>
      <c r="G17" s="29">
        <v>0.73958333333333337</v>
      </c>
      <c r="H17" s="23"/>
      <c r="I17" s="29">
        <v>0</v>
      </c>
      <c r="J17" s="24"/>
      <c r="K17" s="29">
        <v>0.52083333333333337</v>
      </c>
      <c r="L17" s="9"/>
      <c r="M17" s="18">
        <f t="shared" ca="1" si="8"/>
        <v>0</v>
      </c>
      <c r="N17" s="18">
        <f t="shared" ca="1" si="9"/>
        <v>0</v>
      </c>
      <c r="O17" s="19">
        <f t="shared" ca="1" si="1"/>
        <v>0</v>
      </c>
      <c r="P17" s="9"/>
      <c r="Q17" s="30"/>
      <c r="R17" s="21" t="s">
        <v>15</v>
      </c>
      <c r="T17" s="22">
        <f t="shared" ca="1" si="10"/>
        <v>0</v>
      </c>
      <c r="U17" s="22">
        <f t="shared" ca="1" si="2"/>
        <v>0</v>
      </c>
      <c r="V17" s="22">
        <f t="shared" ca="1" si="2"/>
        <v>0</v>
      </c>
      <c r="W17" s="7">
        <f t="shared" ca="1" si="11"/>
        <v>1</v>
      </c>
      <c r="X17" s="19">
        <f t="shared" ca="1" si="3"/>
        <v>0</v>
      </c>
      <c r="Y17" s="7">
        <f t="shared" ca="1" si="4"/>
        <v>0</v>
      </c>
      <c r="Z17" s="7">
        <f t="shared" ca="1" si="5"/>
        <v>1</v>
      </c>
      <c r="AA17" s="7">
        <f t="shared" ca="1" si="6"/>
        <v>11</v>
      </c>
    </row>
    <row r="18" spans="1:27" ht="15" thickBot="1" x14ac:dyDescent="0.4">
      <c r="A18" s="7">
        <v>16</v>
      </c>
      <c r="B18" s="11">
        <f t="shared" ca="1" si="7"/>
        <v>44151</v>
      </c>
      <c r="C18" s="12">
        <f t="shared" ca="1" si="0"/>
        <v>44151</v>
      </c>
      <c r="E18" s="29">
        <v>0.39583333333333331</v>
      </c>
      <c r="F18" s="23"/>
      <c r="G18" s="29">
        <v>0.58333333333333337</v>
      </c>
      <c r="H18" s="23"/>
      <c r="I18" s="29">
        <v>0.63541666666666663</v>
      </c>
      <c r="J18" s="24"/>
      <c r="K18" s="29">
        <v>0.77083333333333337</v>
      </c>
      <c r="L18" s="9"/>
      <c r="M18" s="18">
        <f t="shared" ca="1" si="8"/>
        <v>0.3229166666666668</v>
      </c>
      <c r="N18" s="18">
        <f t="shared" ca="1" si="9"/>
        <v>0.3229166666666668</v>
      </c>
      <c r="O18" s="19">
        <f t="shared" ca="1" si="1"/>
        <v>0</v>
      </c>
      <c r="P18" s="9"/>
      <c r="Q18" s="30"/>
      <c r="R18" s="21" t="s">
        <v>15</v>
      </c>
      <c r="T18" s="22">
        <f t="shared" ca="1" si="10"/>
        <v>465</v>
      </c>
      <c r="U18" s="22">
        <f t="shared" ca="1" si="2"/>
        <v>465</v>
      </c>
      <c r="V18" s="22">
        <f t="shared" ca="1" si="2"/>
        <v>0</v>
      </c>
      <c r="W18" s="7">
        <f t="shared" ca="1" si="11"/>
        <v>2</v>
      </c>
      <c r="X18" s="19">
        <f t="shared" ca="1" si="3"/>
        <v>0.33333333333333331</v>
      </c>
      <c r="Y18" s="7">
        <f t="shared" ca="1" si="4"/>
        <v>0</v>
      </c>
      <c r="Z18" s="7">
        <f t="shared" ca="1" si="5"/>
        <v>0</v>
      </c>
      <c r="AA18" s="7">
        <f t="shared" ca="1" si="6"/>
        <v>11</v>
      </c>
    </row>
    <row r="19" spans="1:27" ht="15" thickBot="1" x14ac:dyDescent="0.4">
      <c r="A19" s="7">
        <v>17</v>
      </c>
      <c r="B19" s="11">
        <f t="shared" ca="1" si="7"/>
        <v>44152</v>
      </c>
      <c r="C19" s="12">
        <f t="shared" ca="1" si="0"/>
        <v>44152</v>
      </c>
      <c r="D19" s="12"/>
      <c r="E19" s="29">
        <v>0.39583333333333331</v>
      </c>
      <c r="F19" s="23"/>
      <c r="G19" s="29">
        <v>0.58333333333333337</v>
      </c>
      <c r="H19" s="15"/>
      <c r="I19" s="29">
        <v>0.63541666666666663</v>
      </c>
      <c r="J19" s="24"/>
      <c r="K19" s="29">
        <v>0.77083333333333337</v>
      </c>
      <c r="L19" s="9"/>
      <c r="M19" s="18">
        <f t="shared" ca="1" si="8"/>
        <v>0.3229166666666668</v>
      </c>
      <c r="N19" s="18">
        <f t="shared" ca="1" si="9"/>
        <v>0.3229166666666668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465</v>
      </c>
      <c r="U19" s="22">
        <f t="shared" ca="1" si="10"/>
        <v>465</v>
      </c>
      <c r="V19" s="22">
        <f t="shared" ca="1" si="10"/>
        <v>0</v>
      </c>
      <c r="W19" s="7">
        <f t="shared" ca="1" si="11"/>
        <v>3</v>
      </c>
      <c r="X19" s="19">
        <f t="shared" ca="1" si="3"/>
        <v>0.33333333333333331</v>
      </c>
      <c r="Y19" s="7">
        <f t="shared" ca="1" si="4"/>
        <v>0</v>
      </c>
      <c r="Z19" s="7">
        <f t="shared" ca="1" si="5"/>
        <v>0</v>
      </c>
      <c r="AA19" s="7">
        <f t="shared" ca="1" si="6"/>
        <v>11</v>
      </c>
    </row>
    <row r="20" spans="1:27" ht="15" thickBot="1" x14ac:dyDescent="0.4">
      <c r="A20" s="7">
        <v>18</v>
      </c>
      <c r="B20" s="11">
        <f t="shared" ca="1" si="7"/>
        <v>44153</v>
      </c>
      <c r="C20" s="12">
        <f t="shared" ca="1" si="0"/>
        <v>44153</v>
      </c>
      <c r="E20" s="29">
        <v>0.39583333333333331</v>
      </c>
      <c r="F20" s="23"/>
      <c r="G20" s="29">
        <v>0.58333333333333337</v>
      </c>
      <c r="H20" s="15"/>
      <c r="I20" s="29">
        <v>0.63541666666666663</v>
      </c>
      <c r="J20" s="24"/>
      <c r="K20" s="29">
        <v>0.77083333333333337</v>
      </c>
      <c r="L20" s="9"/>
      <c r="M20" s="18">
        <f t="shared" ca="1" si="8"/>
        <v>0.3229166666666668</v>
      </c>
      <c r="N20" s="18">
        <f t="shared" ca="1" si="9"/>
        <v>0.3229166666666668</v>
      </c>
      <c r="O20" s="19">
        <f t="shared" ca="1" si="1"/>
        <v>0</v>
      </c>
      <c r="P20" s="9"/>
      <c r="Q20" s="20"/>
      <c r="R20" s="21" t="s">
        <v>15</v>
      </c>
      <c r="T20" s="22">
        <f t="shared" ca="1" si="10"/>
        <v>465</v>
      </c>
      <c r="U20" s="22">
        <f t="shared" ca="1" si="10"/>
        <v>465</v>
      </c>
      <c r="V20" s="22">
        <f t="shared" ca="1" si="10"/>
        <v>0</v>
      </c>
      <c r="W20" s="7">
        <f t="shared" ca="1" si="11"/>
        <v>4</v>
      </c>
      <c r="X20" s="19">
        <f t="shared" ca="1" si="3"/>
        <v>0.33333333333333331</v>
      </c>
      <c r="Y20" s="7">
        <f t="shared" ca="1" si="4"/>
        <v>0</v>
      </c>
      <c r="Z20" s="7">
        <f t="shared" ca="1" si="5"/>
        <v>0</v>
      </c>
      <c r="AA20" s="7">
        <f t="shared" ca="1" si="6"/>
        <v>11</v>
      </c>
    </row>
    <row r="21" spans="1:27" ht="15" thickBot="1" x14ac:dyDescent="0.4">
      <c r="A21" s="7">
        <v>19</v>
      </c>
      <c r="B21" s="11">
        <f t="shared" ca="1" si="7"/>
        <v>44154</v>
      </c>
      <c r="C21" s="12">
        <f t="shared" ca="1" si="0"/>
        <v>44154</v>
      </c>
      <c r="D21" s="12"/>
      <c r="E21" s="29">
        <v>0.39583333333333331</v>
      </c>
      <c r="F21" s="23"/>
      <c r="G21" s="29">
        <v>0.58333333333333337</v>
      </c>
      <c r="H21" s="15"/>
      <c r="I21" s="29">
        <v>0.63541666666666663</v>
      </c>
      <c r="J21" s="24"/>
      <c r="K21" s="29">
        <v>0.77083333333333337</v>
      </c>
      <c r="L21" s="9"/>
      <c r="M21" s="18">
        <f t="shared" ca="1" si="8"/>
        <v>0.3229166666666668</v>
      </c>
      <c r="N21" s="18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0.3229166666666668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465</v>
      </c>
      <c r="U21" s="22">
        <f t="shared" ca="1" si="10"/>
        <v>465</v>
      </c>
      <c r="V21" s="22">
        <f t="shared" ca="1" si="10"/>
        <v>0</v>
      </c>
      <c r="W21" s="7">
        <f t="shared" ca="1" si="11"/>
        <v>5</v>
      </c>
      <c r="X21" s="19">
        <f t="shared" ca="1" si="3"/>
        <v>0.33333333333333331</v>
      </c>
      <c r="Y21" s="7">
        <f t="shared" ca="1" si="4"/>
        <v>0</v>
      </c>
      <c r="Z21" s="7">
        <f t="shared" ca="1" si="5"/>
        <v>0</v>
      </c>
      <c r="AA21" s="7">
        <f t="shared" ca="1" si="6"/>
        <v>11</v>
      </c>
    </row>
    <row r="22" spans="1:27" ht="15" thickBot="1" x14ac:dyDescent="0.4">
      <c r="A22" s="7">
        <v>20</v>
      </c>
      <c r="B22" s="11">
        <f t="shared" ca="1" si="7"/>
        <v>44155</v>
      </c>
      <c r="C22" s="12">
        <f t="shared" ca="1" si="0"/>
        <v>44155</v>
      </c>
      <c r="E22" s="29">
        <v>0.39583333333333331</v>
      </c>
      <c r="F22" s="23"/>
      <c r="G22" s="29">
        <v>0.5</v>
      </c>
      <c r="H22" s="15"/>
      <c r="I22" s="29">
        <v>0</v>
      </c>
      <c r="J22" s="24"/>
      <c r="K22" s="29">
        <v>0</v>
      </c>
      <c r="L22" s="9"/>
      <c r="M22" s="18">
        <f t="shared" ca="1" si="8"/>
        <v>0.10416666666666669</v>
      </c>
      <c r="N22" s="18">
        <f t="shared" ca="1" si="9"/>
        <v>0.10416666666666669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150</v>
      </c>
      <c r="U22" s="22">
        <f t="shared" ca="1" si="10"/>
        <v>150</v>
      </c>
      <c r="V22" s="22">
        <f t="shared" ca="1" si="10"/>
        <v>0</v>
      </c>
      <c r="W22" s="7">
        <f t="shared" ca="1" si="11"/>
        <v>6</v>
      </c>
      <c r="X22" s="19">
        <f t="shared" ca="1" si="3"/>
        <v>0.25</v>
      </c>
      <c r="Y22" s="7">
        <f t="shared" ca="1" si="4"/>
        <v>0</v>
      </c>
      <c r="Z22" s="7">
        <f t="shared" ca="1" si="5"/>
        <v>0</v>
      </c>
      <c r="AA22" s="7">
        <f t="shared" ca="1" si="6"/>
        <v>11</v>
      </c>
    </row>
    <row r="23" spans="1:27" ht="15" thickBot="1" x14ac:dyDescent="0.4">
      <c r="A23" s="7">
        <v>21</v>
      </c>
      <c r="B23" s="11">
        <f t="shared" ca="1" si="7"/>
        <v>44156</v>
      </c>
      <c r="C23" s="12">
        <f t="shared" ca="1" si="0"/>
        <v>44156</v>
      </c>
      <c r="D23" s="12"/>
      <c r="E23" s="29">
        <v>0.39583333333333331</v>
      </c>
      <c r="F23" s="23"/>
      <c r="G23" s="29" t="s">
        <v>43</v>
      </c>
      <c r="H23" s="15"/>
      <c r="I23" s="29">
        <v>0</v>
      </c>
      <c r="J23" s="24"/>
      <c r="K23" s="29">
        <v>0</v>
      </c>
      <c r="L23" s="9"/>
      <c r="M23" s="18">
        <f t="shared" ca="1" si="8"/>
        <v>0</v>
      </c>
      <c r="N23" s="18">
        <f t="shared" ca="1" si="9"/>
        <v>0</v>
      </c>
      <c r="O23" s="19">
        <f t="shared" ca="1" si="1"/>
        <v>0</v>
      </c>
      <c r="P23" s="9"/>
      <c r="Q23" s="30"/>
      <c r="R23" s="21" t="s">
        <v>15</v>
      </c>
      <c r="T23" s="22">
        <f t="shared" ca="1" si="10"/>
        <v>0</v>
      </c>
      <c r="U23" s="22">
        <f t="shared" ca="1" si="10"/>
        <v>0</v>
      </c>
      <c r="V23" s="22">
        <f t="shared" ca="1" si="10"/>
        <v>0</v>
      </c>
      <c r="W23" s="7">
        <f t="shared" ca="1" si="11"/>
        <v>7</v>
      </c>
      <c r="X23" s="19">
        <f t="shared" ca="1" si="3"/>
        <v>0</v>
      </c>
      <c r="Y23" s="7">
        <f t="shared" ca="1" si="4"/>
        <v>0</v>
      </c>
      <c r="Z23" s="7">
        <f t="shared" ca="1" si="5"/>
        <v>1</v>
      </c>
      <c r="AA23" s="7">
        <f t="shared" ca="1" si="6"/>
        <v>11</v>
      </c>
    </row>
    <row r="24" spans="1:27" ht="15" thickBot="1" x14ac:dyDescent="0.4">
      <c r="A24" s="7">
        <v>22</v>
      </c>
      <c r="B24" s="11">
        <f t="shared" ca="1" si="7"/>
        <v>44157</v>
      </c>
      <c r="C24" s="12">
        <f t="shared" ca="1" si="0"/>
        <v>44157</v>
      </c>
      <c r="E24" s="29">
        <v>0.34375</v>
      </c>
      <c r="F24" s="23"/>
      <c r="G24" s="29">
        <v>0.73958333333333337</v>
      </c>
      <c r="H24" s="15"/>
      <c r="I24" s="29">
        <v>0</v>
      </c>
      <c r="J24" s="24"/>
      <c r="K24" s="29">
        <v>0.52083333333333337</v>
      </c>
      <c r="L24" s="9"/>
      <c r="M24" s="18">
        <f t="shared" ca="1" si="8"/>
        <v>0</v>
      </c>
      <c r="N24" s="18">
        <f t="shared" ca="1" si="9"/>
        <v>0</v>
      </c>
      <c r="O24" s="19">
        <f t="shared" ca="1" si="1"/>
        <v>0</v>
      </c>
      <c r="P24" s="9"/>
      <c r="Q24" s="30"/>
      <c r="R24" s="21" t="s">
        <v>15</v>
      </c>
      <c r="T24" s="22">
        <f t="shared" ca="1" si="10"/>
        <v>0</v>
      </c>
      <c r="U24" s="22">
        <f t="shared" ca="1" si="10"/>
        <v>0</v>
      </c>
      <c r="V24" s="22">
        <f t="shared" ca="1" si="10"/>
        <v>0</v>
      </c>
      <c r="W24" s="7">
        <f t="shared" ca="1" si="11"/>
        <v>1</v>
      </c>
      <c r="X24" s="19">
        <f t="shared" ca="1" si="3"/>
        <v>0</v>
      </c>
      <c r="Y24" s="7">
        <f t="shared" ca="1" si="4"/>
        <v>0</v>
      </c>
      <c r="Z24" s="7">
        <f t="shared" ca="1" si="5"/>
        <v>1</v>
      </c>
      <c r="AA24" s="7">
        <f t="shared" ca="1" si="6"/>
        <v>11</v>
      </c>
    </row>
    <row r="25" spans="1:27" ht="15" thickBot="1" x14ac:dyDescent="0.4">
      <c r="A25" s="7">
        <v>23</v>
      </c>
      <c r="B25" s="11">
        <f t="shared" ca="1" si="7"/>
        <v>44158</v>
      </c>
      <c r="C25" s="12">
        <f t="shared" ca="1" si="0"/>
        <v>44158</v>
      </c>
      <c r="D25" s="12"/>
      <c r="E25" s="29">
        <v>0.39583333333333331</v>
      </c>
      <c r="F25" s="23"/>
      <c r="G25" s="29">
        <v>0.58333333333333337</v>
      </c>
      <c r="H25" s="23"/>
      <c r="I25" s="29">
        <v>0.63541666666666663</v>
      </c>
      <c r="J25" s="24"/>
      <c r="K25" s="29">
        <v>0.77083333333333337</v>
      </c>
      <c r="L25" s="9"/>
      <c r="M25" s="18">
        <f t="shared" ca="1" si="8"/>
        <v>0.3229166666666668</v>
      </c>
      <c r="N25" s="18">
        <f t="shared" ca="1" si="9"/>
        <v>0.3229166666666668</v>
      </c>
      <c r="O25" s="19">
        <f t="shared" ca="1" si="1"/>
        <v>0</v>
      </c>
      <c r="P25" s="9"/>
      <c r="Q25" s="30"/>
      <c r="R25" s="21" t="s">
        <v>15</v>
      </c>
      <c r="T25" s="22">
        <f t="shared" ca="1" si="10"/>
        <v>465</v>
      </c>
      <c r="U25" s="22">
        <f t="shared" ca="1" si="10"/>
        <v>465</v>
      </c>
      <c r="V25" s="22">
        <f t="shared" ca="1" si="10"/>
        <v>0</v>
      </c>
      <c r="W25" s="7">
        <f t="shared" ca="1" si="11"/>
        <v>2</v>
      </c>
      <c r="X25" s="19">
        <f t="shared" ca="1" si="3"/>
        <v>0.33333333333333331</v>
      </c>
      <c r="Y25" s="7">
        <f t="shared" ca="1" si="4"/>
        <v>0</v>
      </c>
      <c r="Z25" s="7">
        <f t="shared" ca="1" si="5"/>
        <v>0</v>
      </c>
      <c r="AA25" s="7">
        <f t="shared" ca="1" si="6"/>
        <v>11</v>
      </c>
    </row>
    <row r="26" spans="1:27" ht="15" thickBot="1" x14ac:dyDescent="0.4">
      <c r="A26" s="7">
        <v>24</v>
      </c>
      <c r="B26" s="11">
        <f t="shared" ca="1" si="7"/>
        <v>44159</v>
      </c>
      <c r="C26" s="12">
        <f t="shared" ca="1" si="0"/>
        <v>44159</v>
      </c>
      <c r="E26" s="29">
        <v>0.39583333333333331</v>
      </c>
      <c r="F26" s="23"/>
      <c r="G26" s="29">
        <v>0.58333333333333337</v>
      </c>
      <c r="H26" s="23"/>
      <c r="I26" s="29">
        <v>0.63541666666666663</v>
      </c>
      <c r="J26" s="24"/>
      <c r="K26" s="29">
        <v>0.77083333333333337</v>
      </c>
      <c r="L26" s="9"/>
      <c r="M26" s="18">
        <f t="shared" ca="1" si="8"/>
        <v>0.3229166666666668</v>
      </c>
      <c r="N26" s="18">
        <f t="shared" ca="1" si="9"/>
        <v>0.3229166666666668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465</v>
      </c>
      <c r="U26" s="22">
        <f t="shared" ca="1" si="10"/>
        <v>465</v>
      </c>
      <c r="V26" s="22">
        <f t="shared" ca="1" si="10"/>
        <v>0</v>
      </c>
      <c r="W26" s="7">
        <f t="shared" ca="1" si="11"/>
        <v>3</v>
      </c>
      <c r="X26" s="19">
        <f t="shared" ca="1" si="3"/>
        <v>0.33333333333333331</v>
      </c>
      <c r="Y26" s="7">
        <f t="shared" ca="1" si="4"/>
        <v>0</v>
      </c>
      <c r="Z26" s="7">
        <f t="shared" ca="1" si="5"/>
        <v>0</v>
      </c>
      <c r="AA26" s="7">
        <f t="shared" ca="1" si="6"/>
        <v>11</v>
      </c>
    </row>
    <row r="27" spans="1:27" ht="15" thickBot="1" x14ac:dyDescent="0.4">
      <c r="A27" s="7">
        <v>25</v>
      </c>
      <c r="B27" s="11">
        <f t="shared" ca="1" si="7"/>
        <v>44160</v>
      </c>
      <c r="C27" s="12">
        <f t="shared" ca="1" si="0"/>
        <v>44160</v>
      </c>
      <c r="D27" s="12"/>
      <c r="E27" s="29">
        <v>0.39583333333333331</v>
      </c>
      <c r="F27" s="23"/>
      <c r="G27" s="29">
        <v>0.58333333333333337</v>
      </c>
      <c r="H27" s="15"/>
      <c r="I27" s="29">
        <v>0.63541666666666663</v>
      </c>
      <c r="J27" s="24"/>
      <c r="K27" s="29">
        <v>0.77083333333333337</v>
      </c>
      <c r="L27" s="9"/>
      <c r="M27" s="18">
        <f t="shared" ca="1" si="8"/>
        <v>0.3229166666666668</v>
      </c>
      <c r="N27" s="18">
        <f t="shared" ca="1" si="9"/>
        <v>0.3229166666666668</v>
      </c>
      <c r="O27" s="19">
        <f t="shared" ca="1" si="1"/>
        <v>0</v>
      </c>
      <c r="P27" s="9"/>
      <c r="Q27" s="20"/>
      <c r="R27" s="21" t="s">
        <v>15</v>
      </c>
      <c r="T27" s="22">
        <f t="shared" ca="1" si="10"/>
        <v>465</v>
      </c>
      <c r="U27" s="22">
        <f t="shared" ca="1" si="10"/>
        <v>465</v>
      </c>
      <c r="V27" s="22">
        <f t="shared" ca="1" si="10"/>
        <v>0</v>
      </c>
      <c r="W27" s="7">
        <f t="shared" ca="1" si="11"/>
        <v>4</v>
      </c>
      <c r="X27" s="19">
        <f t="shared" ca="1" si="3"/>
        <v>0.33333333333333331</v>
      </c>
      <c r="Y27" s="7">
        <f t="shared" ca="1" si="4"/>
        <v>0</v>
      </c>
      <c r="Z27" s="7">
        <f t="shared" ca="1" si="5"/>
        <v>0</v>
      </c>
      <c r="AA27" s="7">
        <f t="shared" ca="1" si="6"/>
        <v>11</v>
      </c>
    </row>
    <row r="28" spans="1:27" ht="15" thickBot="1" x14ac:dyDescent="0.4">
      <c r="A28" s="7">
        <v>26</v>
      </c>
      <c r="B28" s="11">
        <f t="shared" ca="1" si="7"/>
        <v>44161</v>
      </c>
      <c r="C28" s="12">
        <f t="shared" ca="1" si="0"/>
        <v>44161</v>
      </c>
      <c r="E28" s="29">
        <v>0.39583333333333331</v>
      </c>
      <c r="F28" s="23"/>
      <c r="G28" s="29">
        <v>0.58333333333333337</v>
      </c>
      <c r="H28" s="15"/>
      <c r="I28" s="29">
        <v>0.63541666666666663</v>
      </c>
      <c r="J28" s="24"/>
      <c r="K28" s="29">
        <v>0.77083333333333337</v>
      </c>
      <c r="L28" s="9"/>
      <c r="M28" s="18">
        <f t="shared" ca="1" si="8"/>
        <v>0.3229166666666668</v>
      </c>
      <c r="N28" s="18">
        <f t="shared" ca="1" si="9"/>
        <v>0.3229166666666668</v>
      </c>
      <c r="O28" s="19">
        <f t="shared" ca="1" si="1"/>
        <v>0</v>
      </c>
      <c r="P28" s="9"/>
      <c r="Q28" s="20"/>
      <c r="R28" s="21" t="s">
        <v>15</v>
      </c>
      <c r="T28" s="22">
        <f t="shared" ca="1" si="10"/>
        <v>465</v>
      </c>
      <c r="U28" s="22">
        <f t="shared" ca="1" si="10"/>
        <v>465</v>
      </c>
      <c r="V28" s="22">
        <f t="shared" ca="1" si="10"/>
        <v>0</v>
      </c>
      <c r="W28" s="7">
        <f t="shared" ca="1" si="11"/>
        <v>5</v>
      </c>
      <c r="X28" s="19">
        <f t="shared" ca="1" si="3"/>
        <v>0.33333333333333331</v>
      </c>
      <c r="Y28" s="7">
        <f t="shared" ca="1" si="4"/>
        <v>0</v>
      </c>
      <c r="Z28" s="7">
        <f t="shared" ca="1" si="5"/>
        <v>0</v>
      </c>
      <c r="AA28" s="7">
        <f t="shared" ca="1" si="6"/>
        <v>11</v>
      </c>
    </row>
    <row r="29" spans="1:27" ht="15" thickBot="1" x14ac:dyDescent="0.4">
      <c r="A29" s="7">
        <v>27</v>
      </c>
      <c r="B29" s="11">
        <f t="shared" ca="1" si="7"/>
        <v>44162</v>
      </c>
      <c r="C29" s="12">
        <f t="shared" ca="1" si="0"/>
        <v>44162</v>
      </c>
      <c r="D29" s="12"/>
      <c r="E29" s="29">
        <v>0.39583333333333331</v>
      </c>
      <c r="F29" s="23"/>
      <c r="G29" s="29">
        <v>0.5</v>
      </c>
      <c r="H29" s="15"/>
      <c r="I29" s="29">
        <v>0</v>
      </c>
      <c r="J29" s="24"/>
      <c r="K29" s="29">
        <v>0</v>
      </c>
      <c r="L29" s="9"/>
      <c r="M29" s="18">
        <f t="shared" ca="1" si="8"/>
        <v>0.10416666666666669</v>
      </c>
      <c r="N29" s="18">
        <f t="shared" ca="1" si="9"/>
        <v>0.10416666666666669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150</v>
      </c>
      <c r="U29" s="22">
        <f t="shared" ca="1" si="10"/>
        <v>150</v>
      </c>
      <c r="V29" s="22">
        <f t="shared" ca="1" si="10"/>
        <v>0</v>
      </c>
      <c r="W29" s="7">
        <f t="shared" ca="1" si="11"/>
        <v>6</v>
      </c>
      <c r="X29" s="19">
        <f t="shared" ca="1" si="3"/>
        <v>0.25</v>
      </c>
      <c r="Y29" s="7">
        <f t="shared" ca="1" si="4"/>
        <v>0</v>
      </c>
      <c r="Z29" s="7">
        <f t="shared" ca="1" si="5"/>
        <v>0</v>
      </c>
      <c r="AA29" s="7">
        <f t="shared" ca="1" si="6"/>
        <v>11</v>
      </c>
    </row>
    <row r="30" spans="1:27" ht="15" thickBot="1" x14ac:dyDescent="0.4">
      <c r="A30" s="7">
        <v>28</v>
      </c>
      <c r="B30" s="11">
        <f t="shared" ca="1" si="7"/>
        <v>44163</v>
      </c>
      <c r="C30" s="12">
        <f t="shared" ca="1" si="0"/>
        <v>44163</v>
      </c>
      <c r="E30" s="29">
        <v>0.39583333333333331</v>
      </c>
      <c r="F30" s="23"/>
      <c r="G30" s="29">
        <v>0.73958333333333337</v>
      </c>
      <c r="H30" s="15"/>
      <c r="I30" s="29">
        <v>0</v>
      </c>
      <c r="J30" s="24"/>
      <c r="K30" s="29">
        <v>0</v>
      </c>
      <c r="L30" s="9"/>
      <c r="M30" s="18">
        <f t="shared" ca="1" si="8"/>
        <v>0</v>
      </c>
      <c r="N30" s="18">
        <f t="shared" ca="1" si="9"/>
        <v>0</v>
      </c>
      <c r="O30" s="19">
        <f t="shared" ca="1" si="1"/>
        <v>0</v>
      </c>
      <c r="P30" s="9"/>
      <c r="Q30" s="30"/>
      <c r="R30" s="21" t="s">
        <v>15</v>
      </c>
      <c r="T30" s="22">
        <f t="shared" ca="1" si="10"/>
        <v>0</v>
      </c>
      <c r="U30" s="22">
        <f t="shared" ca="1" si="10"/>
        <v>0</v>
      </c>
      <c r="V30" s="22">
        <f t="shared" ca="1" si="10"/>
        <v>0</v>
      </c>
      <c r="W30" s="7">
        <f t="shared" ca="1" si="11"/>
        <v>7</v>
      </c>
      <c r="X30" s="19">
        <f t="shared" ca="1" si="3"/>
        <v>0</v>
      </c>
      <c r="Y30" s="7">
        <f t="shared" ca="1" si="4"/>
        <v>0</v>
      </c>
      <c r="Z30" s="7">
        <f t="shared" ca="1" si="5"/>
        <v>1</v>
      </c>
      <c r="AA30" s="7">
        <f t="shared" ca="1" si="6"/>
        <v>11</v>
      </c>
    </row>
    <row r="31" spans="1:27" ht="15" thickBot="1" x14ac:dyDescent="0.4">
      <c r="A31" s="7">
        <v>29</v>
      </c>
      <c r="B31" s="11">
        <f t="shared" ca="1" si="7"/>
        <v>44164</v>
      </c>
      <c r="C31" s="12">
        <f t="shared" ca="1" si="0"/>
        <v>44164</v>
      </c>
      <c r="D31" s="12"/>
      <c r="E31" s="29">
        <v>0.34375</v>
      </c>
      <c r="F31" s="23"/>
      <c r="G31" s="29">
        <v>0.73958333333333337</v>
      </c>
      <c r="H31" s="15"/>
      <c r="I31" s="29">
        <v>0</v>
      </c>
      <c r="J31" s="24"/>
      <c r="K31" s="29">
        <v>0.52083333333333337</v>
      </c>
      <c r="L31" s="9"/>
      <c r="M31" s="18">
        <f t="shared" ca="1" si="8"/>
        <v>0</v>
      </c>
      <c r="N31" s="18">
        <f t="shared" ca="1" si="9"/>
        <v>0</v>
      </c>
      <c r="O31" s="19">
        <f t="shared" ca="1" si="1"/>
        <v>0</v>
      </c>
      <c r="P31" s="9"/>
      <c r="Q31" s="30"/>
      <c r="R31" s="21" t="s">
        <v>15</v>
      </c>
      <c r="T31" s="22">
        <f t="shared" ca="1" si="10"/>
        <v>0</v>
      </c>
      <c r="U31" s="22">
        <f t="shared" ca="1" si="10"/>
        <v>0</v>
      </c>
      <c r="V31" s="22">
        <f t="shared" ca="1" si="10"/>
        <v>0</v>
      </c>
      <c r="W31" s="7">
        <f t="shared" ca="1" si="11"/>
        <v>1</v>
      </c>
      <c r="X31" s="19">
        <f t="shared" ca="1" si="3"/>
        <v>0</v>
      </c>
      <c r="Y31" s="7">
        <f t="shared" ca="1" si="4"/>
        <v>0</v>
      </c>
      <c r="Z31" s="7">
        <f t="shared" ca="1" si="5"/>
        <v>1</v>
      </c>
      <c r="AA31" s="7">
        <f t="shared" ca="1" si="6"/>
        <v>11</v>
      </c>
    </row>
    <row r="32" spans="1:27" ht="15" thickBot="1" x14ac:dyDescent="0.4">
      <c r="A32" s="7">
        <v>30</v>
      </c>
      <c r="B32" s="11">
        <f t="shared" ca="1" si="7"/>
        <v>44165</v>
      </c>
      <c r="C32" s="12">
        <f t="shared" ca="1" si="0"/>
        <v>44165</v>
      </c>
      <c r="E32" s="29">
        <v>0.39583333333333331</v>
      </c>
      <c r="F32" s="23"/>
      <c r="G32" s="29">
        <v>0.58333333333333337</v>
      </c>
      <c r="H32" s="15"/>
      <c r="I32" s="29">
        <v>0.63541666666666663</v>
      </c>
      <c r="J32" s="24"/>
      <c r="K32" s="29">
        <v>0.77083333333333337</v>
      </c>
      <c r="L32" s="9"/>
      <c r="M32" s="18">
        <f t="shared" ca="1" si="8"/>
        <v>0.3229166666666668</v>
      </c>
      <c r="N32" s="18">
        <f t="shared" ca="1" si="9"/>
        <v>0.3229166666666668</v>
      </c>
      <c r="O32" s="19">
        <f t="shared" ca="1" si="1"/>
        <v>0</v>
      </c>
      <c r="P32" s="9"/>
      <c r="Q32" s="30"/>
      <c r="R32" s="21" t="s">
        <v>15</v>
      </c>
      <c r="T32" s="22">
        <f t="shared" ca="1" si="10"/>
        <v>465</v>
      </c>
      <c r="U32" s="22">
        <f t="shared" ca="1" si="10"/>
        <v>465</v>
      </c>
      <c r="V32" s="22">
        <f t="shared" ca="1" si="10"/>
        <v>0</v>
      </c>
      <c r="W32" s="7">
        <f t="shared" ca="1" si="11"/>
        <v>2</v>
      </c>
      <c r="X32" s="19">
        <f t="shared" ca="1" si="3"/>
        <v>0.33333333333333331</v>
      </c>
      <c r="Y32" s="7">
        <f t="shared" ca="1" si="4"/>
        <v>0</v>
      </c>
      <c r="Z32" s="7">
        <f t="shared" ca="1" si="5"/>
        <v>0</v>
      </c>
      <c r="AA32" s="7">
        <f t="shared" ca="1" si="6"/>
        <v>11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44166</v>
      </c>
      <c r="E33" s="29">
        <v>0.34375</v>
      </c>
      <c r="F33" s="23"/>
      <c r="G33" s="29">
        <v>0.73958333333333337</v>
      </c>
      <c r="H33" s="15"/>
      <c r="I33" s="29">
        <v>0</v>
      </c>
      <c r="J33" s="24"/>
      <c r="K33" s="29">
        <v>0.52083333333333337</v>
      </c>
      <c r="L33" s="9"/>
      <c r="M33" s="18">
        <f t="shared" ca="1" si="8"/>
        <v>0</v>
      </c>
      <c r="N33" s="18">
        <f t="shared" ca="1" si="9"/>
        <v>0</v>
      </c>
      <c r="O33" s="19">
        <f t="shared" ca="1" si="1"/>
        <v>0</v>
      </c>
      <c r="P33" s="9"/>
      <c r="Q33" s="20"/>
      <c r="R33" s="21" t="s">
        <v>15</v>
      </c>
      <c r="T33" s="22">
        <f t="shared" ca="1" si="10"/>
        <v>0</v>
      </c>
      <c r="U33" s="22">
        <f t="shared" ca="1" si="10"/>
        <v>0</v>
      </c>
      <c r="V33" s="22">
        <f t="shared" ca="1" si="10"/>
        <v>0</v>
      </c>
      <c r="W33" s="7">
        <f t="shared" ca="1" si="11"/>
        <v>3</v>
      </c>
      <c r="X33" s="19">
        <f t="shared" ca="1" si="3"/>
        <v>0.33333333333333331</v>
      </c>
      <c r="Y33" s="7">
        <f t="shared" ca="1" si="4"/>
        <v>0</v>
      </c>
      <c r="Z33" s="7">
        <f t="shared" ca="1" si="5"/>
        <v>0</v>
      </c>
      <c r="AA33" s="7">
        <f t="shared" ca="1" si="6"/>
        <v>12</v>
      </c>
    </row>
    <row r="34" spans="1:27" ht="15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141.75</v>
      </c>
      <c r="N35" s="27">
        <f ca="1">SUM(U3:U33)/60</f>
        <v>141.75</v>
      </c>
      <c r="O35" s="27">
        <f ca="1">SUM(V3:V33)/60</f>
        <v>0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aHQDdQYNL2ap+1o+r8xj4Lo3R4IYN5qRcnyGj9gAU1s/AJ6MLu5ysAwirAihefiDgVAS+hLZUjFfkXq3Npa/1w==" saltValue="bSqdOwJMhEYwz/vs8vep3Q==" spinCount="100000" sheet="1" objects="1" scenarios="1"/>
  <mergeCells count="1">
    <mergeCell ref="B1:C1"/>
  </mergeCells>
  <conditionalFormatting sqref="G3:G33 E3:E33">
    <cfRule type="expression" dxfId="62" priority="5">
      <formula>VALUE(SUBSTITUTE($G3,":",""))&lt;VALUE(SUBSTITUTE($E3,":",""))</formula>
    </cfRule>
  </conditionalFormatting>
  <conditionalFormatting sqref="I3:I33 K3:K33">
    <cfRule type="expression" dxfId="61" priority="9">
      <formula>($K3-$I3)&lt;0</formula>
    </cfRule>
  </conditionalFormatting>
  <conditionalFormatting sqref="O3:O33">
    <cfRule type="cellIs" dxfId="60" priority="8" operator="greaterThan">
      <formula>0.1</formula>
    </cfRule>
    <cfRule type="expression" dxfId="59" priority="15">
      <formula>$R3="Fecha cerrada"</formula>
    </cfRule>
  </conditionalFormatting>
  <conditionalFormatting sqref="N3:N33">
    <cfRule type="expression" dxfId="58" priority="14">
      <formula>VALUE(SUBSTITUTE($G3,":",""))&lt;VALUE(SUBSTITUTE($E3,":",""))</formula>
    </cfRule>
  </conditionalFormatting>
  <conditionalFormatting sqref="N3:N33">
    <cfRule type="expression" dxfId="57" priority="13">
      <formula>$R3="Fecha cerrada"</formula>
    </cfRule>
  </conditionalFormatting>
  <conditionalFormatting sqref="X3:X33">
    <cfRule type="expression" dxfId="56" priority="12">
      <formula>VALUE(SUBSTITUTE($G3,":",""))&lt;VALUE(SUBSTITUTE($E3,":",""))</formula>
    </cfRule>
  </conditionalFormatting>
  <conditionalFormatting sqref="X3:X33">
    <cfRule type="expression" dxfId="55" priority="11">
      <formula>$R3="Fecha cerrada"</formula>
    </cfRule>
  </conditionalFormatting>
  <conditionalFormatting sqref="Q3:R33 N3:O33 E3:K33">
    <cfRule type="expression" dxfId="54" priority="1">
      <formula>OR($W3=1,$W3=7,$AA3&lt;&gt;_xlfn.SHEET($A$1),,IFERROR(VLOOKUP($C3,DiasVacaciones,1,FALSE+$O$14:$Q$14),0)&lt;&gt;0)</formula>
    </cfRule>
  </conditionalFormatting>
  <conditionalFormatting sqref="R3:R33">
    <cfRule type="cellIs" dxfId="53" priority="6" operator="equal">
      <formula>"Confirmar Fecha"</formula>
    </cfRule>
    <cfRule type="cellIs" dxfId="52" priority="7" operator="equal">
      <formula>"Confirmada"</formula>
    </cfRule>
  </conditionalFormatting>
  <conditionalFormatting sqref="M3:M33">
    <cfRule type="expression" dxfId="51" priority="4">
      <formula>VALUE(SUBSTITUTE($G3,":",""))&lt;VALUE(SUBSTITUTE($E3,":",""))</formula>
    </cfRule>
  </conditionalFormatting>
  <conditionalFormatting sqref="M3:M33">
    <cfRule type="expression" dxfId="50" priority="3">
      <formula>$R3="Fecha cerrada"</formula>
    </cfRule>
  </conditionalFormatting>
  <conditionalFormatting sqref="M3:M33">
    <cfRule type="expression" dxfId="49" priority="2">
      <formula>OR($W3=1,$W3=7,$Z3=1,$AA3&lt;&gt;_xlfn.SHEET($A$1))</formula>
    </cfRule>
  </conditionalFormatting>
  <conditionalFormatting sqref="E3:E33 G3:G33 I3:I33 K3:K33">
    <cfRule type="expression" dxfId="48" priority="10">
      <formula>$R3="Confirmada"</formula>
    </cfRule>
    <cfRule type="expression" dxfId="47" priority="16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G3:G33 K3:K33 I3:I33 E3:E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A39"/>
  <sheetViews>
    <sheetView showGridLines="0" tabSelected="1" workbookViewId="0">
      <selection activeCell="A3" sqref="A3"/>
    </sheetView>
  </sheetViews>
  <sheetFormatPr baseColWidth="10" defaultRowHeight="14.5" x14ac:dyDescent="0.35"/>
  <cols>
    <col min="1" max="1" width="10.90625" style="7"/>
    <col min="2" max="2" width="8.81640625" style="7" bestFit="1" customWidth="1"/>
    <col min="3" max="3" width="11.81640625" style="7" customWidth="1"/>
    <col min="4" max="4" width="0.90625" style="7" customWidth="1"/>
    <col min="5" max="5" width="10.90625" style="7"/>
    <col min="6" max="6" width="1.1796875" style="7" customWidth="1"/>
    <col min="7" max="7" width="11.1796875" style="7" bestFit="1" customWidth="1"/>
    <col min="8" max="8" width="0.90625" style="7" customWidth="1"/>
    <col min="9" max="9" width="11.1796875" style="7" bestFit="1" customWidth="1"/>
    <col min="10" max="10" width="1" style="7" customWidth="1"/>
    <col min="11" max="11" width="10.90625" style="7"/>
    <col min="12" max="12" width="0.7265625" style="7" customWidth="1"/>
    <col min="13" max="13" width="9.7265625" style="7" customWidth="1"/>
    <col min="14" max="14" width="13.453125" style="7" customWidth="1"/>
    <col min="15" max="15" width="8" style="7" customWidth="1"/>
    <col min="16" max="16" width="0.81640625" style="7" customWidth="1"/>
    <col min="17" max="17" width="25.08984375" style="7" customWidth="1"/>
    <col min="18" max="18" width="16.7265625" style="7" customWidth="1"/>
    <col min="19" max="19" width="5.1796875" style="7" customWidth="1"/>
    <col min="20" max="20" width="6.26953125" style="7" hidden="1" customWidth="1"/>
    <col min="21" max="21" width="7.90625" style="7" hidden="1" customWidth="1"/>
    <col min="22" max="22" width="7.36328125" style="7" hidden="1" customWidth="1"/>
    <col min="23" max="24" width="10.90625" style="7" hidden="1" customWidth="1"/>
    <col min="25" max="25" width="11.1796875" style="7" hidden="1" customWidth="1"/>
    <col min="26" max="27" width="0" style="7" hidden="1" customWidth="1"/>
    <col min="28" max="16384" width="10.90625" style="7"/>
  </cols>
  <sheetData>
    <row r="1" spans="1:27" ht="15" thickBot="1" x14ac:dyDescent="0.4">
      <c r="A1" s="6" t="s">
        <v>0</v>
      </c>
      <c r="B1" s="47" t="s">
        <v>28</v>
      </c>
      <c r="C1" s="48"/>
      <c r="K1" s="8"/>
    </row>
    <row r="2" spans="1:27" ht="15" thickBot="1" x14ac:dyDescent="0.4">
      <c r="E2" s="9" t="s">
        <v>1</v>
      </c>
      <c r="F2" s="9"/>
      <c r="G2" s="9"/>
      <c r="H2" s="9"/>
      <c r="I2" s="9" t="s">
        <v>2</v>
      </c>
      <c r="L2" s="9"/>
      <c r="M2" s="7" t="s">
        <v>19</v>
      </c>
      <c r="N2" s="7" t="s">
        <v>9</v>
      </c>
      <c r="O2" s="7" t="s">
        <v>10</v>
      </c>
      <c r="P2" s="9"/>
      <c r="Q2" s="10" t="s">
        <v>7</v>
      </c>
      <c r="Y2" s="7" t="s">
        <v>17</v>
      </c>
      <c r="Z2" s="7" t="s">
        <v>18</v>
      </c>
      <c r="AA2" s="7" t="s">
        <v>20</v>
      </c>
    </row>
    <row r="3" spans="1:27" ht="15.5" thickTop="1" thickBot="1" x14ac:dyDescent="0.4">
      <c r="A3" s="7">
        <v>1</v>
      </c>
      <c r="B3" s="11">
        <f ca="1">C3</f>
        <v>44166</v>
      </c>
      <c r="C3" s="12">
        <f t="shared" ref="C3:C33" ca="1" si="0">DATE(Anualidad,_xlfn.SHEET(B1),A3)</f>
        <v>44166</v>
      </c>
      <c r="D3" s="12"/>
      <c r="E3" s="31">
        <v>0.39583333333333331</v>
      </c>
      <c r="F3" s="14"/>
      <c r="G3" s="31">
        <v>0.58333333333333337</v>
      </c>
      <c r="H3" s="15"/>
      <c r="I3" s="29">
        <v>0.63541666666666663</v>
      </c>
      <c r="J3" s="17"/>
      <c r="K3" s="29">
        <v>0.77083333333333337</v>
      </c>
      <c r="L3" s="9"/>
      <c r="M3" s="18">
        <f ca="1">IF(IF(AND(W3&lt;&gt;7,W3&lt;&gt;1,$AA3=_xlfn.SHEET($A$11)),(G3-E3)+IFERROR((K3-I3),0),0)&gt;0,IF(AND(W3&lt;&gt;7,W3&lt;&gt;1,$AA3=_xlfn.SHEET($A$11)),(G3-E3)+IFERROR((K3-I3),0),0),0)</f>
        <v>0.3229166666666668</v>
      </c>
      <c r="N3" s="18">
        <f ca="1">IF(IF(AND(W3&lt;&gt;7,W3&lt;&gt;1,$AA3=_xlfn.SHEET($A$11)),IF((G3-E3)+(K3-I3)&gt;X3,X3,(G3-E3)+(K3-I3)),0)&gt;0,IF(AND(W3&lt;&gt;7,W3&lt;&gt;1,$AA3=_xlfn.SHEET($A$11)),IF((G3-E3)+(K3-I3)&gt;X3,X3,(G3-E3)+(K3-I3)),0),0)</f>
        <v>0.3229166666666668</v>
      </c>
      <c r="O3" s="19">
        <f t="shared" ref="O3:O33" ca="1" si="1">IFERROR(IF(AND(W3&lt;&gt;7,W3&lt;&gt;1,M3&gt;N3),(G3-E3)+(K3-I3)-X3,0),0)</f>
        <v>0</v>
      </c>
      <c r="P3" s="9"/>
      <c r="Q3" s="30"/>
      <c r="R3" s="21" t="s">
        <v>15</v>
      </c>
      <c r="T3" s="22">
        <f ca="1">MINUTE(M3)+(HOUR(M3)*60)</f>
        <v>465</v>
      </c>
      <c r="U3" s="22">
        <f t="shared" ref="U3:V18" ca="1" si="2">MINUTE(N3)+(HOUR(N3)*60)</f>
        <v>465</v>
      </c>
      <c r="V3" s="22">
        <f t="shared" ca="1" si="2"/>
        <v>0</v>
      </c>
      <c r="W3" s="7">
        <f ca="1">WEEKDAY(C3)</f>
        <v>3</v>
      </c>
      <c r="X3" s="19">
        <f t="shared" ref="X3:X33" ca="1" si="3">IF(AND(W3&lt;&gt;7,W3&lt;&gt;1),IF(W3=DiaSemanaIntensiva,HorasIntensiva,HorasOrdinarias),0)</f>
        <v>0.33333333333333331</v>
      </c>
      <c r="Y3" s="7">
        <f t="shared" ref="Y3:Y33" ca="1" si="4">IF(IFERROR(VLOOKUP(C3,DiasIntensiva,1,FALSE),0)&lt;&gt;0,1,0)</f>
        <v>0</v>
      </c>
      <c r="Z3" s="7">
        <f t="shared" ref="Z3:Z33" ca="1" si="5">IF(OR(W3=7,W3=1,IFERROR(VLOOKUP(C3,DiasVacaciones,1,FALSE),0)&lt;&gt;0),1,0)</f>
        <v>0</v>
      </c>
      <c r="AA3" s="7">
        <f t="shared" ref="AA3:AA33" ca="1" si="6">MONTH(C3)</f>
        <v>12</v>
      </c>
    </row>
    <row r="4" spans="1:27" ht="15" thickBot="1" x14ac:dyDescent="0.4">
      <c r="A4" s="7">
        <v>2</v>
      </c>
      <c r="B4" s="11">
        <f t="shared" ref="B4:B32" ca="1" si="7">C4</f>
        <v>44167</v>
      </c>
      <c r="C4" s="12">
        <f t="shared" ca="1" si="0"/>
        <v>44167</v>
      </c>
      <c r="E4" s="29">
        <v>0.39583333333333331</v>
      </c>
      <c r="F4" s="23"/>
      <c r="G4" s="29">
        <v>0.58333333333333337</v>
      </c>
      <c r="H4" s="15"/>
      <c r="I4" s="29">
        <v>0.63541666666666663</v>
      </c>
      <c r="J4" s="24"/>
      <c r="K4" s="29">
        <v>0.77083333333333337</v>
      </c>
      <c r="L4" s="9"/>
      <c r="M4" s="18">
        <f t="shared" ref="M4:M33" ca="1" si="8">IF(IF(AND(W4&lt;&gt;7,W4&lt;&gt;1,$AA4=_xlfn.SHEET($A$11)),(G4-E4)+IFERROR((K4-I4),0),0)&gt;0,IF(AND(W4&lt;&gt;7,W4&lt;&gt;1,$AA4=_xlfn.SHEET($A$11)),(G4-E4)+IFERROR((K4-I4),0),0),0)</f>
        <v>0.3229166666666668</v>
      </c>
      <c r="N4" s="18">
        <f t="shared" ref="N4:N33" ca="1" si="9">IF(IF(AND(W4&lt;&gt;7,W4&lt;&gt;1,$AA4=_xlfn.SHEET($A$11)),IF((G4-E4)+(K4-I4)&gt;X4,X4,(G4-E4)+(K4-I4)),0)&gt;0,IF(AND(W4&lt;&gt;7,W4&lt;&gt;1,$AA4=_xlfn.SHEET($A$11)),IF((G4-E4)+(K4-I4)&gt;X4,X4,(G4-E4)+(K4-I4)),0),0)</f>
        <v>0.3229166666666668</v>
      </c>
      <c r="O4" s="19">
        <f t="shared" ca="1" si="1"/>
        <v>0</v>
      </c>
      <c r="P4" s="9"/>
      <c r="Q4" s="30"/>
      <c r="R4" s="21" t="s">
        <v>15</v>
      </c>
      <c r="T4" s="22">
        <f t="shared" ref="T4:V33" ca="1" si="10">MINUTE(M4)+(HOUR(M4)*60)</f>
        <v>465</v>
      </c>
      <c r="U4" s="22">
        <f t="shared" ca="1" si="2"/>
        <v>465</v>
      </c>
      <c r="V4" s="22">
        <f t="shared" ca="1" si="2"/>
        <v>0</v>
      </c>
      <c r="W4" s="7">
        <f t="shared" ref="W4:W33" ca="1" si="11">WEEKDAY(C4)</f>
        <v>4</v>
      </c>
      <c r="X4" s="19">
        <f t="shared" ca="1" si="3"/>
        <v>0.33333333333333331</v>
      </c>
      <c r="Y4" s="7">
        <f t="shared" ca="1" si="4"/>
        <v>0</v>
      </c>
      <c r="Z4" s="7">
        <f t="shared" ca="1" si="5"/>
        <v>0</v>
      </c>
      <c r="AA4" s="7">
        <f t="shared" ca="1" si="6"/>
        <v>12</v>
      </c>
    </row>
    <row r="5" spans="1:27" ht="15" thickBot="1" x14ac:dyDescent="0.4">
      <c r="A5" s="7">
        <v>3</v>
      </c>
      <c r="B5" s="11">
        <f t="shared" ca="1" si="7"/>
        <v>44168</v>
      </c>
      <c r="C5" s="12">
        <f t="shared" ca="1" si="0"/>
        <v>44168</v>
      </c>
      <c r="D5" s="12"/>
      <c r="E5" s="29">
        <v>0.39583333333333331</v>
      </c>
      <c r="F5" s="23"/>
      <c r="G5" s="29">
        <v>0.58333333333333337</v>
      </c>
      <c r="H5" s="15"/>
      <c r="I5" s="29">
        <v>0.63541666666666663</v>
      </c>
      <c r="J5" s="24"/>
      <c r="K5" s="29">
        <v>0.77083333333333337</v>
      </c>
      <c r="L5" s="9"/>
      <c r="M5" s="18">
        <f t="shared" ca="1" si="8"/>
        <v>0.3229166666666668</v>
      </c>
      <c r="N5" s="18">
        <f t="shared" ca="1" si="9"/>
        <v>0.3229166666666668</v>
      </c>
      <c r="O5" s="19">
        <f t="shared" ca="1" si="1"/>
        <v>0</v>
      </c>
      <c r="P5" s="9"/>
      <c r="Q5" s="30"/>
      <c r="R5" s="21" t="s">
        <v>15</v>
      </c>
      <c r="T5" s="22">
        <f t="shared" ca="1" si="10"/>
        <v>465</v>
      </c>
      <c r="U5" s="22">
        <f t="shared" ca="1" si="2"/>
        <v>465</v>
      </c>
      <c r="V5" s="22">
        <f t="shared" ca="1" si="2"/>
        <v>0</v>
      </c>
      <c r="W5" s="7">
        <f t="shared" ca="1" si="11"/>
        <v>5</v>
      </c>
      <c r="X5" s="19">
        <f t="shared" ca="1" si="3"/>
        <v>0.33333333333333331</v>
      </c>
      <c r="Y5" s="7">
        <f t="shared" ca="1" si="4"/>
        <v>0</v>
      </c>
      <c r="Z5" s="7">
        <f t="shared" ca="1" si="5"/>
        <v>0</v>
      </c>
      <c r="AA5" s="7">
        <f t="shared" ca="1" si="6"/>
        <v>12</v>
      </c>
    </row>
    <row r="6" spans="1:27" ht="15" thickBot="1" x14ac:dyDescent="0.4">
      <c r="A6" s="7">
        <v>4</v>
      </c>
      <c r="B6" s="11">
        <f t="shared" ca="1" si="7"/>
        <v>44169</v>
      </c>
      <c r="C6" s="12">
        <f t="shared" ca="1" si="0"/>
        <v>44169</v>
      </c>
      <c r="E6" s="29">
        <v>0.39583333333333331</v>
      </c>
      <c r="F6" s="23"/>
      <c r="G6" s="29">
        <v>0.5</v>
      </c>
      <c r="H6" s="15"/>
      <c r="I6" s="29">
        <v>0</v>
      </c>
      <c r="J6" s="24"/>
      <c r="K6" s="29">
        <v>0</v>
      </c>
      <c r="L6" s="9"/>
      <c r="M6" s="18">
        <f t="shared" ca="1" si="8"/>
        <v>0.10416666666666669</v>
      </c>
      <c r="N6" s="18">
        <f t="shared" ca="1" si="9"/>
        <v>0.10416666666666669</v>
      </c>
      <c r="O6" s="19">
        <f t="shared" ca="1" si="1"/>
        <v>0</v>
      </c>
      <c r="P6" s="9"/>
      <c r="Q6" s="20"/>
      <c r="R6" s="21" t="s">
        <v>15</v>
      </c>
      <c r="T6" s="22">
        <f t="shared" ca="1" si="10"/>
        <v>150</v>
      </c>
      <c r="U6" s="22">
        <f t="shared" ca="1" si="2"/>
        <v>150</v>
      </c>
      <c r="V6" s="22">
        <f t="shared" ca="1" si="2"/>
        <v>0</v>
      </c>
      <c r="W6" s="7">
        <f t="shared" ca="1" si="11"/>
        <v>6</v>
      </c>
      <c r="X6" s="19">
        <f t="shared" ca="1" si="3"/>
        <v>0.25</v>
      </c>
      <c r="Y6" s="7">
        <f t="shared" ca="1" si="4"/>
        <v>0</v>
      </c>
      <c r="Z6" s="7">
        <f t="shared" ca="1" si="5"/>
        <v>0</v>
      </c>
      <c r="AA6" s="7">
        <f t="shared" ca="1" si="6"/>
        <v>12</v>
      </c>
    </row>
    <row r="7" spans="1:27" ht="15" thickBot="1" x14ac:dyDescent="0.4">
      <c r="A7" s="7">
        <v>5</v>
      </c>
      <c r="B7" s="11">
        <f t="shared" ca="1" si="7"/>
        <v>44170</v>
      </c>
      <c r="C7" s="12">
        <f t="shared" ca="1" si="0"/>
        <v>44170</v>
      </c>
      <c r="D7" s="12"/>
      <c r="E7" s="16" t="s">
        <v>3</v>
      </c>
      <c r="F7" s="23"/>
      <c r="G7" s="16" t="s">
        <v>4</v>
      </c>
      <c r="H7" s="15"/>
      <c r="I7" s="16" t="s">
        <v>5</v>
      </c>
      <c r="J7" s="24"/>
      <c r="K7" s="16" t="s">
        <v>6</v>
      </c>
      <c r="L7" s="9"/>
      <c r="M7" s="18">
        <f t="shared" ca="1" si="8"/>
        <v>0</v>
      </c>
      <c r="N7" s="18">
        <f t="shared" ca="1" si="9"/>
        <v>0</v>
      </c>
      <c r="O7" s="19">
        <f t="shared" ca="1" si="1"/>
        <v>0</v>
      </c>
      <c r="P7" s="9"/>
      <c r="Q7" s="20"/>
      <c r="R7" s="21" t="s">
        <v>8</v>
      </c>
      <c r="T7" s="22">
        <f t="shared" ca="1" si="10"/>
        <v>0</v>
      </c>
      <c r="U7" s="22">
        <f t="shared" ca="1" si="2"/>
        <v>0</v>
      </c>
      <c r="V7" s="22">
        <f t="shared" ca="1" si="2"/>
        <v>0</v>
      </c>
      <c r="W7" s="7">
        <f t="shared" ca="1" si="11"/>
        <v>7</v>
      </c>
      <c r="X7" s="19">
        <f t="shared" ca="1" si="3"/>
        <v>0</v>
      </c>
      <c r="Y7" s="7">
        <f t="shared" ca="1" si="4"/>
        <v>0</v>
      </c>
      <c r="Z7" s="7">
        <f t="shared" ca="1" si="5"/>
        <v>1</v>
      </c>
      <c r="AA7" s="7">
        <f t="shared" ca="1" si="6"/>
        <v>12</v>
      </c>
    </row>
    <row r="8" spans="1:27" ht="15" thickBot="1" x14ac:dyDescent="0.4">
      <c r="A8" s="7">
        <v>6</v>
      </c>
      <c r="B8" s="11">
        <f t="shared" ca="1" si="7"/>
        <v>44171</v>
      </c>
      <c r="C8" s="12">
        <f t="shared" ca="1" si="0"/>
        <v>44171</v>
      </c>
      <c r="E8" s="29">
        <v>0.34375</v>
      </c>
      <c r="F8" s="23"/>
      <c r="G8" s="29">
        <v>0.5</v>
      </c>
      <c r="H8" s="15"/>
      <c r="I8" s="29">
        <v>0</v>
      </c>
      <c r="J8" s="24"/>
      <c r="K8" s="29">
        <v>0.52083333333333337</v>
      </c>
      <c r="L8" s="9"/>
      <c r="M8" s="18">
        <f t="shared" ca="1" si="8"/>
        <v>0</v>
      </c>
      <c r="N8" s="18">
        <f t="shared" ca="1" si="9"/>
        <v>0</v>
      </c>
      <c r="O8" s="19">
        <f t="shared" ca="1" si="1"/>
        <v>0</v>
      </c>
      <c r="P8" s="9"/>
      <c r="Q8" s="20"/>
      <c r="R8" s="21" t="s">
        <v>15</v>
      </c>
      <c r="T8" s="22">
        <f t="shared" ca="1" si="10"/>
        <v>0</v>
      </c>
      <c r="U8" s="22">
        <f t="shared" ca="1" si="2"/>
        <v>0</v>
      </c>
      <c r="V8" s="22">
        <f t="shared" ca="1" si="2"/>
        <v>0</v>
      </c>
      <c r="W8" s="7">
        <f t="shared" ca="1" si="11"/>
        <v>1</v>
      </c>
      <c r="X8" s="19">
        <f t="shared" ca="1" si="3"/>
        <v>0</v>
      </c>
      <c r="Y8" s="7">
        <f t="shared" ca="1" si="4"/>
        <v>0</v>
      </c>
      <c r="Z8" s="7">
        <f t="shared" ca="1" si="5"/>
        <v>1</v>
      </c>
      <c r="AA8" s="7">
        <f t="shared" ca="1" si="6"/>
        <v>12</v>
      </c>
    </row>
    <row r="9" spans="1:27" ht="15" thickBot="1" x14ac:dyDescent="0.4">
      <c r="A9" s="7">
        <v>7</v>
      </c>
      <c r="B9" s="11">
        <f t="shared" ca="1" si="7"/>
        <v>44172</v>
      </c>
      <c r="C9" s="12">
        <f t="shared" ca="1" si="0"/>
        <v>44172</v>
      </c>
      <c r="D9" s="12"/>
      <c r="E9" s="29">
        <v>0.39583333333333331</v>
      </c>
      <c r="F9" s="23"/>
      <c r="G9" s="29">
        <v>0.58333333333333337</v>
      </c>
      <c r="H9" s="23"/>
      <c r="I9" s="29">
        <v>0.63541666666666663</v>
      </c>
      <c r="J9" s="24"/>
      <c r="K9" s="29">
        <v>0.77083333333333337</v>
      </c>
      <c r="L9" s="9"/>
      <c r="M9" s="18">
        <f t="shared" ca="1" si="8"/>
        <v>0.3229166666666668</v>
      </c>
      <c r="N9" s="18">
        <f t="shared" ca="1" si="9"/>
        <v>0.3229166666666668</v>
      </c>
      <c r="O9" s="19">
        <f t="shared" ca="1" si="1"/>
        <v>0</v>
      </c>
      <c r="P9" s="9"/>
      <c r="Q9" s="30"/>
      <c r="R9" s="21" t="s">
        <v>15</v>
      </c>
      <c r="T9" s="22">
        <f t="shared" ca="1" si="10"/>
        <v>465</v>
      </c>
      <c r="U9" s="22">
        <f t="shared" ca="1" si="2"/>
        <v>465</v>
      </c>
      <c r="V9" s="22">
        <f t="shared" ca="1" si="2"/>
        <v>0</v>
      </c>
      <c r="W9" s="7">
        <f t="shared" ca="1" si="11"/>
        <v>2</v>
      </c>
      <c r="X9" s="19">
        <f t="shared" ca="1" si="3"/>
        <v>0.33333333333333331</v>
      </c>
      <c r="Y9" s="7">
        <f t="shared" ca="1" si="4"/>
        <v>0</v>
      </c>
      <c r="Z9" s="7">
        <f t="shared" ca="1" si="5"/>
        <v>0</v>
      </c>
      <c r="AA9" s="7">
        <f t="shared" ca="1" si="6"/>
        <v>12</v>
      </c>
    </row>
    <row r="10" spans="1:27" ht="15" thickBot="1" x14ac:dyDescent="0.4">
      <c r="A10" s="7">
        <v>8</v>
      </c>
      <c r="B10" s="11">
        <f t="shared" ca="1" si="7"/>
        <v>44173</v>
      </c>
      <c r="C10" s="12">
        <f t="shared" ca="1" si="0"/>
        <v>44173</v>
      </c>
      <c r="E10" s="29">
        <v>0.39583333333333331</v>
      </c>
      <c r="F10" s="23"/>
      <c r="G10" s="29">
        <v>0.58333333333333337</v>
      </c>
      <c r="H10" s="23"/>
      <c r="I10" s="29">
        <v>0.63541666666666663</v>
      </c>
      <c r="J10" s="24"/>
      <c r="K10" s="29">
        <v>0.77083333333333337</v>
      </c>
      <c r="L10" s="9"/>
      <c r="M10" s="18">
        <f t="shared" ca="1" si="8"/>
        <v>0.3229166666666668</v>
      </c>
      <c r="N10" s="18">
        <f t="shared" ca="1" si="9"/>
        <v>0.3229166666666668</v>
      </c>
      <c r="O10" s="19">
        <f t="shared" ca="1" si="1"/>
        <v>0</v>
      </c>
      <c r="P10" s="9"/>
      <c r="Q10" s="20"/>
      <c r="R10" s="21" t="s">
        <v>15</v>
      </c>
      <c r="T10" s="22">
        <f t="shared" ca="1" si="10"/>
        <v>465</v>
      </c>
      <c r="U10" s="22">
        <f t="shared" ca="1" si="2"/>
        <v>465</v>
      </c>
      <c r="V10" s="22">
        <f t="shared" ca="1" si="2"/>
        <v>0</v>
      </c>
      <c r="W10" s="7">
        <f t="shared" ca="1" si="11"/>
        <v>3</v>
      </c>
      <c r="X10" s="19">
        <f t="shared" ca="1" si="3"/>
        <v>0.33333333333333331</v>
      </c>
      <c r="Y10" s="7">
        <f t="shared" ca="1" si="4"/>
        <v>0</v>
      </c>
      <c r="Z10" s="7">
        <f t="shared" ca="1" si="5"/>
        <v>0</v>
      </c>
      <c r="AA10" s="7">
        <f t="shared" ca="1" si="6"/>
        <v>12</v>
      </c>
    </row>
    <row r="11" spans="1:27" ht="15" thickBot="1" x14ac:dyDescent="0.4">
      <c r="A11" s="7">
        <v>9</v>
      </c>
      <c r="B11" s="11">
        <f t="shared" ca="1" si="7"/>
        <v>44174</v>
      </c>
      <c r="C11" s="12">
        <f t="shared" ca="1" si="0"/>
        <v>44174</v>
      </c>
      <c r="D11" s="12"/>
      <c r="E11" s="29">
        <v>0.39583333333333331</v>
      </c>
      <c r="F11" s="23"/>
      <c r="G11" s="29">
        <v>0.58333333333333337</v>
      </c>
      <c r="H11" s="15"/>
      <c r="I11" s="29">
        <v>0.63541666666666663</v>
      </c>
      <c r="J11" s="24"/>
      <c r="K11" s="29">
        <v>0.77083333333333337</v>
      </c>
      <c r="L11" s="9"/>
      <c r="M11" s="18">
        <f t="shared" ca="1" si="8"/>
        <v>0.3229166666666668</v>
      </c>
      <c r="N11" s="18">
        <f t="shared" ca="1" si="9"/>
        <v>0.3229166666666668</v>
      </c>
      <c r="O11" s="19">
        <f t="shared" ca="1" si="1"/>
        <v>0</v>
      </c>
      <c r="P11" s="9"/>
      <c r="Q11" s="30"/>
      <c r="R11" s="21" t="s">
        <v>15</v>
      </c>
      <c r="T11" s="22">
        <f t="shared" ca="1" si="10"/>
        <v>465</v>
      </c>
      <c r="U11" s="22">
        <f t="shared" ca="1" si="2"/>
        <v>465</v>
      </c>
      <c r="V11" s="22">
        <f t="shared" ca="1" si="2"/>
        <v>0</v>
      </c>
      <c r="W11" s="7">
        <f t="shared" ca="1" si="11"/>
        <v>4</v>
      </c>
      <c r="X11" s="19">
        <f t="shared" ca="1" si="3"/>
        <v>0.33333333333333331</v>
      </c>
      <c r="Y11" s="7">
        <f t="shared" ca="1" si="4"/>
        <v>0</v>
      </c>
      <c r="Z11" s="7">
        <f t="shared" ca="1" si="5"/>
        <v>0</v>
      </c>
      <c r="AA11" s="7">
        <f t="shared" ca="1" si="6"/>
        <v>12</v>
      </c>
    </row>
    <row r="12" spans="1:27" ht="15" thickBot="1" x14ac:dyDescent="0.4">
      <c r="A12" s="7">
        <v>10</v>
      </c>
      <c r="B12" s="11">
        <f t="shared" ca="1" si="7"/>
        <v>44175</v>
      </c>
      <c r="C12" s="12">
        <f t="shared" ca="1" si="0"/>
        <v>44175</v>
      </c>
      <c r="E12" s="29">
        <v>0.39583333333333331</v>
      </c>
      <c r="F12" s="23"/>
      <c r="G12" s="29">
        <v>0.58333333333333337</v>
      </c>
      <c r="H12" s="15"/>
      <c r="I12" s="29">
        <v>0.63541666666666663</v>
      </c>
      <c r="J12" s="24"/>
      <c r="K12" s="29">
        <v>0.77083333333333337</v>
      </c>
      <c r="L12" s="9"/>
      <c r="M12" s="18">
        <f t="shared" ca="1" si="8"/>
        <v>0.3229166666666668</v>
      </c>
      <c r="N12" s="18">
        <f t="shared" ca="1" si="9"/>
        <v>0.3229166666666668</v>
      </c>
      <c r="O12" s="19">
        <f t="shared" ca="1" si="1"/>
        <v>0</v>
      </c>
      <c r="P12" s="9"/>
      <c r="Q12" s="30"/>
      <c r="R12" s="21" t="s">
        <v>15</v>
      </c>
      <c r="T12" s="22">
        <f t="shared" ca="1" si="10"/>
        <v>465</v>
      </c>
      <c r="U12" s="22">
        <f t="shared" ca="1" si="2"/>
        <v>465</v>
      </c>
      <c r="V12" s="22">
        <f t="shared" ca="1" si="2"/>
        <v>0</v>
      </c>
      <c r="W12" s="7">
        <f t="shared" ca="1" si="11"/>
        <v>5</v>
      </c>
      <c r="X12" s="19">
        <f t="shared" ca="1" si="3"/>
        <v>0.33333333333333331</v>
      </c>
      <c r="Y12" s="7">
        <f t="shared" ca="1" si="4"/>
        <v>0</v>
      </c>
      <c r="Z12" s="7">
        <f t="shared" ca="1" si="5"/>
        <v>0</v>
      </c>
      <c r="AA12" s="7">
        <f t="shared" ca="1" si="6"/>
        <v>12</v>
      </c>
    </row>
    <row r="13" spans="1:27" ht="15" thickBot="1" x14ac:dyDescent="0.4">
      <c r="A13" s="7">
        <v>11</v>
      </c>
      <c r="B13" s="11">
        <f t="shared" ca="1" si="7"/>
        <v>44176</v>
      </c>
      <c r="C13" s="12">
        <f t="shared" ca="1" si="0"/>
        <v>44176</v>
      </c>
      <c r="D13" s="12"/>
      <c r="E13" s="16" t="s">
        <v>3</v>
      </c>
      <c r="F13" s="23"/>
      <c r="G13" s="16" t="s">
        <v>4</v>
      </c>
      <c r="H13" s="15"/>
      <c r="I13" s="16" t="s">
        <v>5</v>
      </c>
      <c r="J13" s="24"/>
      <c r="K13" s="16" t="s">
        <v>6</v>
      </c>
      <c r="L13" s="9"/>
      <c r="M13" s="18">
        <f t="shared" ca="1" si="8"/>
        <v>0.35416666666666674</v>
      </c>
      <c r="N13" s="18">
        <f t="shared" ca="1" si="9"/>
        <v>0.25</v>
      </c>
      <c r="O13" s="19">
        <f t="shared" ca="1" si="1"/>
        <v>0.10416666666666674</v>
      </c>
      <c r="P13" s="9"/>
      <c r="Q13" s="20"/>
      <c r="R13" s="21" t="s">
        <v>15</v>
      </c>
      <c r="T13" s="22">
        <f t="shared" ca="1" si="10"/>
        <v>510</v>
      </c>
      <c r="U13" s="22">
        <f t="shared" ca="1" si="2"/>
        <v>360</v>
      </c>
      <c r="V13" s="22">
        <f t="shared" ca="1" si="2"/>
        <v>150</v>
      </c>
      <c r="W13" s="7">
        <f t="shared" ca="1" si="11"/>
        <v>6</v>
      </c>
      <c r="X13" s="19">
        <f t="shared" ca="1" si="3"/>
        <v>0.25</v>
      </c>
      <c r="Y13" s="7">
        <f t="shared" ca="1" si="4"/>
        <v>0</v>
      </c>
      <c r="Z13" s="7">
        <f t="shared" ca="1" si="5"/>
        <v>0</v>
      </c>
      <c r="AA13" s="7">
        <f t="shared" ca="1" si="6"/>
        <v>12</v>
      </c>
    </row>
    <row r="14" spans="1:27" ht="15" thickBot="1" x14ac:dyDescent="0.4">
      <c r="A14" s="7">
        <v>12</v>
      </c>
      <c r="B14" s="11">
        <f t="shared" ca="1" si="7"/>
        <v>44177</v>
      </c>
      <c r="C14" s="12">
        <f t="shared" ca="1" si="0"/>
        <v>44177</v>
      </c>
      <c r="E14" s="16" t="s">
        <v>3</v>
      </c>
      <c r="F14" s="23"/>
      <c r="G14" s="16" t="s">
        <v>4</v>
      </c>
      <c r="H14" s="15"/>
      <c r="I14" s="16" t="s">
        <v>5</v>
      </c>
      <c r="J14" s="24"/>
      <c r="K14" s="16" t="s">
        <v>6</v>
      </c>
      <c r="L14" s="9"/>
      <c r="M14" s="18">
        <f t="shared" ca="1" si="8"/>
        <v>0</v>
      </c>
      <c r="N14" s="18">
        <f t="shared" ca="1" si="9"/>
        <v>0</v>
      </c>
      <c r="O14" s="19">
        <f t="shared" ca="1" si="1"/>
        <v>0</v>
      </c>
      <c r="P14" s="9"/>
      <c r="Q14" s="20"/>
      <c r="R14" s="21" t="s">
        <v>8</v>
      </c>
      <c r="T14" s="22">
        <f t="shared" ca="1" si="10"/>
        <v>0</v>
      </c>
      <c r="U14" s="22">
        <f t="shared" ca="1" si="2"/>
        <v>0</v>
      </c>
      <c r="V14" s="22">
        <f t="shared" ca="1" si="2"/>
        <v>0</v>
      </c>
      <c r="W14" s="7">
        <f t="shared" ca="1" si="11"/>
        <v>7</v>
      </c>
      <c r="X14" s="19">
        <f t="shared" ca="1" si="3"/>
        <v>0</v>
      </c>
      <c r="Y14" s="7">
        <f t="shared" ca="1" si="4"/>
        <v>0</v>
      </c>
      <c r="Z14" s="7">
        <f t="shared" ca="1" si="5"/>
        <v>1</v>
      </c>
      <c r="AA14" s="7">
        <f t="shared" ca="1" si="6"/>
        <v>12</v>
      </c>
    </row>
    <row r="15" spans="1:27" ht="15" thickBot="1" x14ac:dyDescent="0.4">
      <c r="A15" s="7">
        <v>13</v>
      </c>
      <c r="B15" s="11">
        <f t="shared" ca="1" si="7"/>
        <v>44178</v>
      </c>
      <c r="C15" s="12">
        <f t="shared" ca="1" si="0"/>
        <v>44178</v>
      </c>
      <c r="D15" s="12"/>
      <c r="E15" s="29">
        <v>0.34375</v>
      </c>
      <c r="F15" s="23"/>
      <c r="G15" s="29">
        <v>0.5</v>
      </c>
      <c r="H15" s="15"/>
      <c r="I15" s="29">
        <v>0</v>
      </c>
      <c r="J15" s="24"/>
      <c r="K15" s="29">
        <v>0.52083333333333337</v>
      </c>
      <c r="L15" s="9"/>
      <c r="M15" s="18">
        <f t="shared" ca="1" si="8"/>
        <v>0</v>
      </c>
      <c r="N15" s="18">
        <f t="shared" ca="1" si="9"/>
        <v>0</v>
      </c>
      <c r="O15" s="19">
        <f t="shared" ca="1" si="1"/>
        <v>0</v>
      </c>
      <c r="P15" s="9"/>
      <c r="Q15" s="30"/>
      <c r="R15" s="21" t="s">
        <v>15</v>
      </c>
      <c r="T15" s="22">
        <f t="shared" ca="1" si="10"/>
        <v>0</v>
      </c>
      <c r="U15" s="22">
        <f t="shared" ca="1" si="2"/>
        <v>0</v>
      </c>
      <c r="V15" s="22">
        <f t="shared" ca="1" si="2"/>
        <v>0</v>
      </c>
      <c r="W15" s="7">
        <f t="shared" ca="1" si="11"/>
        <v>1</v>
      </c>
      <c r="X15" s="19">
        <f t="shared" ca="1" si="3"/>
        <v>0</v>
      </c>
      <c r="Y15" s="7">
        <f t="shared" ca="1" si="4"/>
        <v>0</v>
      </c>
      <c r="Z15" s="7">
        <f t="shared" ca="1" si="5"/>
        <v>1</v>
      </c>
      <c r="AA15" s="7">
        <f t="shared" ca="1" si="6"/>
        <v>12</v>
      </c>
    </row>
    <row r="16" spans="1:27" ht="15" thickBot="1" x14ac:dyDescent="0.4">
      <c r="A16" s="7">
        <v>14</v>
      </c>
      <c r="B16" s="11">
        <f t="shared" ca="1" si="7"/>
        <v>44179</v>
      </c>
      <c r="C16" s="12">
        <f t="shared" ca="1" si="0"/>
        <v>44179</v>
      </c>
      <c r="E16" s="29">
        <v>0.39583333333333331</v>
      </c>
      <c r="F16" s="23"/>
      <c r="G16" s="29">
        <v>0.58333333333333337</v>
      </c>
      <c r="H16" s="15"/>
      <c r="I16" s="29">
        <v>0.63541666666666663</v>
      </c>
      <c r="J16" s="24"/>
      <c r="K16" s="29">
        <v>0.77083333333333337</v>
      </c>
      <c r="L16" s="9"/>
      <c r="M16" s="18">
        <f t="shared" ca="1" si="8"/>
        <v>0.3229166666666668</v>
      </c>
      <c r="N16" s="18">
        <f t="shared" ca="1" si="9"/>
        <v>0.3229166666666668</v>
      </c>
      <c r="O16" s="19">
        <f t="shared" ca="1" si="1"/>
        <v>0</v>
      </c>
      <c r="P16" s="9"/>
      <c r="Q16" s="30"/>
      <c r="R16" s="21" t="s">
        <v>15</v>
      </c>
      <c r="T16" s="22">
        <f t="shared" ca="1" si="10"/>
        <v>465</v>
      </c>
      <c r="U16" s="22">
        <f t="shared" ca="1" si="2"/>
        <v>465</v>
      </c>
      <c r="V16" s="22">
        <f t="shared" ca="1" si="2"/>
        <v>0</v>
      </c>
      <c r="W16" s="7">
        <f t="shared" ca="1" si="11"/>
        <v>2</v>
      </c>
      <c r="X16" s="19">
        <f t="shared" ca="1" si="3"/>
        <v>0.33333333333333331</v>
      </c>
      <c r="Y16" s="7">
        <f t="shared" ca="1" si="4"/>
        <v>0</v>
      </c>
      <c r="Z16" s="7">
        <f t="shared" ca="1" si="5"/>
        <v>0</v>
      </c>
      <c r="AA16" s="7">
        <f t="shared" ca="1" si="6"/>
        <v>12</v>
      </c>
    </row>
    <row r="17" spans="1:27" ht="15" thickBot="1" x14ac:dyDescent="0.4">
      <c r="A17" s="7">
        <v>15</v>
      </c>
      <c r="B17" s="11">
        <f t="shared" ca="1" si="7"/>
        <v>44180</v>
      </c>
      <c r="C17" s="12">
        <f t="shared" ca="1" si="0"/>
        <v>44180</v>
      </c>
      <c r="D17" s="12"/>
      <c r="E17" s="29">
        <v>0.39583333333333331</v>
      </c>
      <c r="F17" s="23"/>
      <c r="G17" s="29">
        <v>0.58333333333333337</v>
      </c>
      <c r="H17" s="23"/>
      <c r="I17" s="29">
        <v>0.63541666666666663</v>
      </c>
      <c r="J17" s="24"/>
      <c r="K17" s="29">
        <v>0.77083333333333337</v>
      </c>
      <c r="L17" s="9"/>
      <c r="M17" s="32">
        <f t="shared" ca="1" si="8"/>
        <v>0.3229166666666668</v>
      </c>
      <c r="N17" s="18">
        <f t="shared" ca="1" si="9"/>
        <v>0.3229166666666668</v>
      </c>
      <c r="O17" s="19">
        <f t="shared" ca="1" si="1"/>
        <v>0</v>
      </c>
      <c r="P17" s="9"/>
      <c r="Q17" s="30"/>
      <c r="R17" s="21" t="s">
        <v>15</v>
      </c>
      <c r="T17" s="22">
        <f t="shared" ca="1" si="10"/>
        <v>465</v>
      </c>
      <c r="U17" s="22">
        <f t="shared" ca="1" si="2"/>
        <v>465</v>
      </c>
      <c r="V17" s="22">
        <f t="shared" ca="1" si="2"/>
        <v>0</v>
      </c>
      <c r="W17" s="7">
        <f t="shared" ca="1" si="11"/>
        <v>3</v>
      </c>
      <c r="X17" s="19">
        <f t="shared" ca="1" si="3"/>
        <v>0.33333333333333331</v>
      </c>
      <c r="Y17" s="7">
        <f t="shared" ca="1" si="4"/>
        <v>0</v>
      </c>
      <c r="Z17" s="7">
        <f t="shared" ca="1" si="5"/>
        <v>0</v>
      </c>
      <c r="AA17" s="7">
        <f t="shared" ca="1" si="6"/>
        <v>12</v>
      </c>
    </row>
    <row r="18" spans="1:27" ht="15" thickBot="1" x14ac:dyDescent="0.4">
      <c r="A18" s="7">
        <v>16</v>
      </c>
      <c r="B18" s="11">
        <f t="shared" ca="1" si="7"/>
        <v>44181</v>
      </c>
      <c r="C18" s="12">
        <f t="shared" ca="1" si="0"/>
        <v>44181</v>
      </c>
      <c r="E18" s="29">
        <v>0.39583333333333331</v>
      </c>
      <c r="F18" s="23"/>
      <c r="G18" s="29">
        <v>0.58333333333333337</v>
      </c>
      <c r="H18" s="23"/>
      <c r="I18" s="29">
        <v>0.63541666666666663</v>
      </c>
      <c r="J18" s="24"/>
      <c r="K18" s="29">
        <v>0.77083333333333337</v>
      </c>
      <c r="L18" s="9"/>
      <c r="M18" s="18">
        <f t="shared" ca="1" si="8"/>
        <v>0.3229166666666668</v>
      </c>
      <c r="N18" s="18">
        <f t="shared" ca="1" si="9"/>
        <v>0.3229166666666668</v>
      </c>
      <c r="O18" s="19">
        <f t="shared" ca="1" si="1"/>
        <v>0</v>
      </c>
      <c r="P18" s="9"/>
      <c r="Q18" s="30"/>
      <c r="R18" s="21" t="s">
        <v>15</v>
      </c>
      <c r="T18" s="22">
        <f t="shared" ca="1" si="10"/>
        <v>465</v>
      </c>
      <c r="U18" s="22">
        <f t="shared" ca="1" si="2"/>
        <v>465</v>
      </c>
      <c r="V18" s="22">
        <f t="shared" ca="1" si="2"/>
        <v>0</v>
      </c>
      <c r="W18" s="7">
        <f t="shared" ca="1" si="11"/>
        <v>4</v>
      </c>
      <c r="X18" s="19">
        <f t="shared" ca="1" si="3"/>
        <v>0.33333333333333331</v>
      </c>
      <c r="Y18" s="7">
        <f t="shared" ca="1" si="4"/>
        <v>0</v>
      </c>
      <c r="Z18" s="7">
        <f t="shared" ca="1" si="5"/>
        <v>0</v>
      </c>
      <c r="AA18" s="7">
        <f t="shared" ca="1" si="6"/>
        <v>12</v>
      </c>
    </row>
    <row r="19" spans="1:27" ht="15" thickBot="1" x14ac:dyDescent="0.4">
      <c r="A19" s="7">
        <v>17</v>
      </c>
      <c r="B19" s="11">
        <f t="shared" ca="1" si="7"/>
        <v>44182</v>
      </c>
      <c r="C19" s="12">
        <f t="shared" ca="1" si="0"/>
        <v>44182</v>
      </c>
      <c r="D19" s="12"/>
      <c r="E19" s="29">
        <v>0.39583333333333331</v>
      </c>
      <c r="F19" s="23"/>
      <c r="G19" s="29">
        <v>0.58333333333333337</v>
      </c>
      <c r="H19" s="15"/>
      <c r="I19" s="29">
        <v>0.63541666666666663</v>
      </c>
      <c r="J19" s="24"/>
      <c r="K19" s="29">
        <v>0.77083333333333337</v>
      </c>
      <c r="L19" s="9"/>
      <c r="M19" s="18">
        <f t="shared" ca="1" si="8"/>
        <v>0.3229166666666668</v>
      </c>
      <c r="N19" s="18">
        <f t="shared" ca="1" si="9"/>
        <v>0.3229166666666668</v>
      </c>
      <c r="O19" s="19">
        <f t="shared" ca="1" si="1"/>
        <v>0</v>
      </c>
      <c r="P19" s="9"/>
      <c r="Q19" s="30"/>
      <c r="R19" s="21" t="s">
        <v>15</v>
      </c>
      <c r="T19" s="22">
        <f t="shared" ca="1" si="10"/>
        <v>465</v>
      </c>
      <c r="U19" s="22">
        <f t="shared" ca="1" si="10"/>
        <v>465</v>
      </c>
      <c r="V19" s="22">
        <f t="shared" ca="1" si="10"/>
        <v>0</v>
      </c>
      <c r="W19" s="7">
        <f t="shared" ca="1" si="11"/>
        <v>5</v>
      </c>
      <c r="X19" s="19">
        <f t="shared" ca="1" si="3"/>
        <v>0.33333333333333331</v>
      </c>
      <c r="Y19" s="7">
        <f t="shared" ca="1" si="4"/>
        <v>0</v>
      </c>
      <c r="Z19" s="7">
        <f t="shared" ca="1" si="5"/>
        <v>0</v>
      </c>
      <c r="AA19" s="7">
        <f t="shared" ca="1" si="6"/>
        <v>12</v>
      </c>
    </row>
    <row r="20" spans="1:27" ht="15" thickBot="1" x14ac:dyDescent="0.4">
      <c r="A20" s="7">
        <v>18</v>
      </c>
      <c r="B20" s="11">
        <f t="shared" ca="1" si="7"/>
        <v>44183</v>
      </c>
      <c r="C20" s="12">
        <f t="shared" ca="1" si="0"/>
        <v>44183</v>
      </c>
      <c r="E20" s="29" t="s">
        <v>3</v>
      </c>
      <c r="F20" s="23"/>
      <c r="G20" s="29" t="s">
        <v>4</v>
      </c>
      <c r="H20" s="15"/>
      <c r="I20" s="16" t="s">
        <v>30</v>
      </c>
      <c r="J20" s="24"/>
      <c r="K20" s="16" t="s">
        <v>34</v>
      </c>
      <c r="L20" s="9"/>
      <c r="M20" s="18">
        <f t="shared" ca="1" si="8"/>
        <v>0.36458333333333337</v>
      </c>
      <c r="N20" s="18">
        <f t="shared" ca="1" si="9"/>
        <v>0.25</v>
      </c>
      <c r="O20" s="19">
        <f t="shared" ca="1" si="1"/>
        <v>0.11458333333333337</v>
      </c>
      <c r="P20" s="9"/>
      <c r="Q20" s="20"/>
      <c r="R20" s="21" t="s">
        <v>15</v>
      </c>
      <c r="T20" s="22">
        <f t="shared" ca="1" si="10"/>
        <v>525</v>
      </c>
      <c r="U20" s="22">
        <f t="shared" ca="1" si="10"/>
        <v>360</v>
      </c>
      <c r="V20" s="22">
        <f t="shared" ca="1" si="10"/>
        <v>165</v>
      </c>
      <c r="W20" s="7">
        <f t="shared" ca="1" si="11"/>
        <v>6</v>
      </c>
      <c r="X20" s="19">
        <f t="shared" ca="1" si="3"/>
        <v>0.25</v>
      </c>
      <c r="Y20" s="7">
        <f t="shared" ca="1" si="4"/>
        <v>0</v>
      </c>
      <c r="Z20" s="7">
        <f t="shared" ca="1" si="5"/>
        <v>0</v>
      </c>
      <c r="AA20" s="7">
        <f t="shared" ca="1" si="6"/>
        <v>12</v>
      </c>
    </row>
    <row r="21" spans="1:27" ht="15" thickBot="1" x14ac:dyDescent="0.4">
      <c r="A21" s="7">
        <v>19</v>
      </c>
      <c r="B21" s="11">
        <f t="shared" ca="1" si="7"/>
        <v>44184</v>
      </c>
      <c r="C21" s="12">
        <f t="shared" ca="1" si="0"/>
        <v>44184</v>
      </c>
      <c r="D21" s="12"/>
      <c r="E21" s="16" t="s">
        <v>3</v>
      </c>
      <c r="F21" s="23"/>
      <c r="G21" s="29">
        <v>0.5</v>
      </c>
      <c r="H21" s="15"/>
      <c r="I21" s="16" t="s">
        <v>31</v>
      </c>
      <c r="J21" s="24"/>
      <c r="K21" s="16" t="s">
        <v>35</v>
      </c>
      <c r="L21" s="9"/>
      <c r="M21" s="18">
        <f t="shared" ca="1" si="8"/>
        <v>0</v>
      </c>
      <c r="N21" s="18">
        <f ca="1">IF(IF(AND(W21&lt;&gt;7,W21&lt;&gt;1,$AA21=_xlfn.SHEET($A$11)),IF((G21-E21)+(K21-I21)&gt;X21,X21,(G21-E21)+(K21-I21)),0)&gt;0,IF(AND(W21&lt;&gt;7,W21&lt;&gt;1,$AA21=_xlfn.SHEET($A$11)),IF((G21-E21)+(K21-I21)&gt;X21,X21,(G21-E21)+(K21-I21)),0),0)</f>
        <v>0</v>
      </c>
      <c r="O21" s="19">
        <f t="shared" ca="1" si="1"/>
        <v>0</v>
      </c>
      <c r="P21" s="9"/>
      <c r="Q21" s="20"/>
      <c r="R21" s="21" t="s">
        <v>15</v>
      </c>
      <c r="T21" s="22">
        <f t="shared" ca="1" si="10"/>
        <v>0</v>
      </c>
      <c r="U21" s="22">
        <f t="shared" ca="1" si="10"/>
        <v>0</v>
      </c>
      <c r="V21" s="22">
        <f t="shared" ca="1" si="10"/>
        <v>0</v>
      </c>
      <c r="W21" s="7">
        <f t="shared" ca="1" si="11"/>
        <v>7</v>
      </c>
      <c r="X21" s="19">
        <f t="shared" ca="1" si="3"/>
        <v>0</v>
      </c>
      <c r="Y21" s="7">
        <f t="shared" ca="1" si="4"/>
        <v>0</v>
      </c>
      <c r="Z21" s="7">
        <f t="shared" ca="1" si="5"/>
        <v>1</v>
      </c>
      <c r="AA21" s="7">
        <f t="shared" ca="1" si="6"/>
        <v>12</v>
      </c>
    </row>
    <row r="22" spans="1:27" ht="15" thickBot="1" x14ac:dyDescent="0.4">
      <c r="A22" s="7">
        <v>20</v>
      </c>
      <c r="B22" s="11">
        <f t="shared" ca="1" si="7"/>
        <v>44185</v>
      </c>
      <c r="C22" s="12">
        <f t="shared" ca="1" si="0"/>
        <v>44185</v>
      </c>
      <c r="E22" s="29">
        <v>0.34375</v>
      </c>
      <c r="F22" s="23"/>
      <c r="G22" s="29">
        <v>0.5</v>
      </c>
      <c r="H22" s="15"/>
      <c r="I22" s="29">
        <v>0</v>
      </c>
      <c r="J22" s="24"/>
      <c r="K22" s="29">
        <v>0.52083333333333337</v>
      </c>
      <c r="L22" s="9"/>
      <c r="M22" s="18">
        <f t="shared" ca="1" si="8"/>
        <v>0</v>
      </c>
      <c r="N22" s="18">
        <f t="shared" ca="1" si="9"/>
        <v>0</v>
      </c>
      <c r="O22" s="19">
        <f t="shared" ca="1" si="1"/>
        <v>0</v>
      </c>
      <c r="P22" s="9"/>
      <c r="Q22" s="30"/>
      <c r="R22" s="21" t="s">
        <v>15</v>
      </c>
      <c r="T22" s="22">
        <f t="shared" ca="1" si="10"/>
        <v>0</v>
      </c>
      <c r="U22" s="22">
        <f t="shared" ca="1" si="10"/>
        <v>0</v>
      </c>
      <c r="V22" s="22">
        <f t="shared" ca="1" si="10"/>
        <v>0</v>
      </c>
      <c r="W22" s="7">
        <f t="shared" ca="1" si="11"/>
        <v>1</v>
      </c>
      <c r="X22" s="19">
        <f t="shared" ca="1" si="3"/>
        <v>0</v>
      </c>
      <c r="Y22" s="7">
        <f t="shared" ca="1" si="4"/>
        <v>0</v>
      </c>
      <c r="Z22" s="7">
        <f t="shared" ca="1" si="5"/>
        <v>1</v>
      </c>
      <c r="AA22" s="7">
        <f t="shared" ca="1" si="6"/>
        <v>12</v>
      </c>
    </row>
    <row r="23" spans="1:27" ht="15" thickBot="1" x14ac:dyDescent="0.4">
      <c r="A23" s="7">
        <v>21</v>
      </c>
      <c r="B23" s="11">
        <f t="shared" ca="1" si="7"/>
        <v>44186</v>
      </c>
      <c r="C23" s="12">
        <f t="shared" ca="1" si="0"/>
        <v>44186</v>
      </c>
      <c r="D23" s="12"/>
      <c r="E23" s="29">
        <v>0.39583333333333331</v>
      </c>
      <c r="F23" s="23"/>
      <c r="G23" s="29">
        <v>0.58333333333333337</v>
      </c>
      <c r="H23" s="15"/>
      <c r="I23" s="29">
        <v>0.63541666666666663</v>
      </c>
      <c r="J23" s="24"/>
      <c r="K23" s="29">
        <v>0.77083333333333337</v>
      </c>
      <c r="L23" s="9"/>
      <c r="M23" s="18">
        <f t="shared" ca="1" si="8"/>
        <v>0.3229166666666668</v>
      </c>
      <c r="N23" s="18">
        <f t="shared" ca="1" si="9"/>
        <v>0.3229166666666668</v>
      </c>
      <c r="O23" s="19">
        <f t="shared" ca="1" si="1"/>
        <v>0</v>
      </c>
      <c r="P23" s="9"/>
      <c r="Q23" s="30"/>
      <c r="R23" s="21" t="s">
        <v>15</v>
      </c>
      <c r="T23" s="22">
        <f t="shared" ca="1" si="10"/>
        <v>465</v>
      </c>
      <c r="U23" s="22">
        <f t="shared" ca="1" si="10"/>
        <v>465</v>
      </c>
      <c r="V23" s="22">
        <f t="shared" ca="1" si="10"/>
        <v>0</v>
      </c>
      <c r="W23" s="7">
        <f t="shared" ca="1" si="11"/>
        <v>2</v>
      </c>
      <c r="X23" s="19">
        <f t="shared" ca="1" si="3"/>
        <v>0.33333333333333331</v>
      </c>
      <c r="Y23" s="7">
        <f t="shared" ca="1" si="4"/>
        <v>0</v>
      </c>
      <c r="Z23" s="7">
        <f t="shared" ca="1" si="5"/>
        <v>0</v>
      </c>
      <c r="AA23" s="7">
        <f t="shared" ca="1" si="6"/>
        <v>12</v>
      </c>
    </row>
    <row r="24" spans="1:27" ht="15" thickBot="1" x14ac:dyDescent="0.4">
      <c r="A24" s="7">
        <v>22</v>
      </c>
      <c r="B24" s="11">
        <f t="shared" ca="1" si="7"/>
        <v>44187</v>
      </c>
      <c r="C24" s="12">
        <f t="shared" ca="1" si="0"/>
        <v>44187</v>
      </c>
      <c r="E24" s="29">
        <v>0.39583333333333331</v>
      </c>
      <c r="F24" s="23"/>
      <c r="G24" s="29">
        <v>0.58333333333333337</v>
      </c>
      <c r="H24" s="15"/>
      <c r="I24" s="29">
        <v>0.63541666666666663</v>
      </c>
      <c r="J24" s="24"/>
      <c r="K24" s="29">
        <v>0.77083333333333337</v>
      </c>
      <c r="L24" s="9"/>
      <c r="M24" s="18">
        <f t="shared" ca="1" si="8"/>
        <v>0.3229166666666668</v>
      </c>
      <c r="N24" s="18">
        <f t="shared" ca="1" si="9"/>
        <v>0.3229166666666668</v>
      </c>
      <c r="O24" s="19">
        <f t="shared" ca="1" si="1"/>
        <v>0</v>
      </c>
      <c r="P24" s="9"/>
      <c r="Q24" s="30"/>
      <c r="R24" s="21" t="s">
        <v>15</v>
      </c>
      <c r="T24" s="22">
        <f t="shared" ca="1" si="10"/>
        <v>465</v>
      </c>
      <c r="U24" s="22">
        <f t="shared" ca="1" si="10"/>
        <v>465</v>
      </c>
      <c r="V24" s="22">
        <f t="shared" ca="1" si="10"/>
        <v>0</v>
      </c>
      <c r="W24" s="7">
        <f t="shared" ca="1" si="11"/>
        <v>3</v>
      </c>
      <c r="X24" s="19">
        <f t="shared" ca="1" si="3"/>
        <v>0.33333333333333331</v>
      </c>
      <c r="Y24" s="7">
        <f t="shared" ca="1" si="4"/>
        <v>0</v>
      </c>
      <c r="Z24" s="7">
        <f t="shared" ca="1" si="5"/>
        <v>0</v>
      </c>
      <c r="AA24" s="7">
        <f t="shared" ca="1" si="6"/>
        <v>12</v>
      </c>
    </row>
    <row r="25" spans="1:27" ht="15" thickBot="1" x14ac:dyDescent="0.4">
      <c r="A25" s="7">
        <v>23</v>
      </c>
      <c r="B25" s="11">
        <f t="shared" ca="1" si="7"/>
        <v>44188</v>
      </c>
      <c r="C25" s="12">
        <f t="shared" ca="1" si="0"/>
        <v>44188</v>
      </c>
      <c r="D25" s="12"/>
      <c r="E25" s="29">
        <v>0.39583333333333331</v>
      </c>
      <c r="F25" s="23"/>
      <c r="G25" s="29">
        <v>0.58333333333333337</v>
      </c>
      <c r="H25" s="23"/>
      <c r="I25" s="29">
        <v>0.63541666666666663</v>
      </c>
      <c r="J25" s="24"/>
      <c r="K25" s="29">
        <v>0.77083333333333337</v>
      </c>
      <c r="L25" s="9"/>
      <c r="M25" s="18">
        <f t="shared" ca="1" si="8"/>
        <v>0.3229166666666668</v>
      </c>
      <c r="N25" s="18">
        <f t="shared" ca="1" si="9"/>
        <v>0.3229166666666668</v>
      </c>
      <c r="O25" s="19">
        <f t="shared" ca="1" si="1"/>
        <v>0</v>
      </c>
      <c r="P25" s="9"/>
      <c r="Q25" s="30"/>
      <c r="R25" s="21" t="s">
        <v>15</v>
      </c>
      <c r="T25" s="22">
        <f t="shared" ca="1" si="10"/>
        <v>465</v>
      </c>
      <c r="U25" s="22">
        <f t="shared" ca="1" si="10"/>
        <v>465</v>
      </c>
      <c r="V25" s="22">
        <f t="shared" ca="1" si="10"/>
        <v>0</v>
      </c>
      <c r="W25" s="7">
        <f t="shared" ca="1" si="11"/>
        <v>4</v>
      </c>
      <c r="X25" s="19">
        <f t="shared" ca="1" si="3"/>
        <v>0.33333333333333331</v>
      </c>
      <c r="Y25" s="7">
        <f t="shared" ca="1" si="4"/>
        <v>0</v>
      </c>
      <c r="Z25" s="7">
        <f t="shared" ca="1" si="5"/>
        <v>0</v>
      </c>
      <c r="AA25" s="7">
        <f t="shared" ca="1" si="6"/>
        <v>12</v>
      </c>
    </row>
    <row r="26" spans="1:27" ht="15" thickBot="1" x14ac:dyDescent="0.4">
      <c r="A26" s="7">
        <v>24</v>
      </c>
      <c r="B26" s="11">
        <f t="shared" ca="1" si="7"/>
        <v>44189</v>
      </c>
      <c r="C26" s="12">
        <f t="shared" ca="1" si="0"/>
        <v>44189</v>
      </c>
      <c r="E26" s="29">
        <v>0.39583333333333331</v>
      </c>
      <c r="F26" s="23"/>
      <c r="G26" s="29">
        <v>0.58333333333333337</v>
      </c>
      <c r="H26" s="23"/>
      <c r="I26" s="29">
        <v>0.63541666666666663</v>
      </c>
      <c r="J26" s="24"/>
      <c r="K26" s="29">
        <v>0.77083333333333337</v>
      </c>
      <c r="L26" s="9"/>
      <c r="M26" s="18">
        <f t="shared" ca="1" si="8"/>
        <v>0.3229166666666668</v>
      </c>
      <c r="N26" s="18">
        <f t="shared" ca="1" si="9"/>
        <v>0.3229166666666668</v>
      </c>
      <c r="O26" s="19">
        <f t="shared" ca="1" si="1"/>
        <v>0</v>
      </c>
      <c r="P26" s="9"/>
      <c r="Q26" s="20"/>
      <c r="R26" s="21" t="s">
        <v>15</v>
      </c>
      <c r="T26" s="22">
        <f t="shared" ca="1" si="10"/>
        <v>465</v>
      </c>
      <c r="U26" s="22">
        <f t="shared" ca="1" si="10"/>
        <v>465</v>
      </c>
      <c r="V26" s="22">
        <f t="shared" ca="1" si="10"/>
        <v>0</v>
      </c>
      <c r="W26" s="7">
        <f t="shared" ca="1" si="11"/>
        <v>5</v>
      </c>
      <c r="X26" s="19">
        <f t="shared" ca="1" si="3"/>
        <v>0.33333333333333331</v>
      </c>
      <c r="Y26" s="7">
        <f t="shared" ca="1" si="4"/>
        <v>0</v>
      </c>
      <c r="Z26" s="7">
        <f t="shared" ca="1" si="5"/>
        <v>0</v>
      </c>
      <c r="AA26" s="7">
        <f t="shared" ca="1" si="6"/>
        <v>12</v>
      </c>
    </row>
    <row r="27" spans="1:27" ht="15" thickBot="1" x14ac:dyDescent="0.4">
      <c r="A27" s="7">
        <v>25</v>
      </c>
      <c r="B27" s="11">
        <f t="shared" ca="1" si="7"/>
        <v>44190</v>
      </c>
      <c r="C27" s="12">
        <f t="shared" ca="1" si="0"/>
        <v>44190</v>
      </c>
      <c r="D27" s="12"/>
      <c r="E27" s="29" t="s">
        <v>3</v>
      </c>
      <c r="F27" s="23"/>
      <c r="G27" s="16" t="s">
        <v>4</v>
      </c>
      <c r="H27" s="15"/>
      <c r="I27" s="16" t="s">
        <v>32</v>
      </c>
      <c r="J27" s="24"/>
      <c r="K27" s="29" t="s">
        <v>36</v>
      </c>
      <c r="L27" s="9"/>
      <c r="M27" s="18">
        <f t="shared" ca="1" si="8"/>
        <v>0.36458333333333337</v>
      </c>
      <c r="N27" s="18">
        <f t="shared" ca="1" si="9"/>
        <v>0.25</v>
      </c>
      <c r="O27" s="19">
        <f t="shared" ca="1" si="1"/>
        <v>0.11458333333333337</v>
      </c>
      <c r="P27" s="9"/>
      <c r="Q27" s="20"/>
      <c r="R27" s="21" t="s">
        <v>15</v>
      </c>
      <c r="T27" s="22">
        <f t="shared" ca="1" si="10"/>
        <v>525</v>
      </c>
      <c r="U27" s="22">
        <f t="shared" ca="1" si="10"/>
        <v>360</v>
      </c>
      <c r="V27" s="22">
        <f t="shared" ca="1" si="10"/>
        <v>165</v>
      </c>
      <c r="W27" s="7">
        <f t="shared" ca="1" si="11"/>
        <v>6</v>
      </c>
      <c r="X27" s="19">
        <f t="shared" ca="1" si="3"/>
        <v>0.25</v>
      </c>
      <c r="Y27" s="7">
        <f t="shared" ca="1" si="4"/>
        <v>0</v>
      </c>
      <c r="Z27" s="7">
        <f t="shared" ca="1" si="5"/>
        <v>0</v>
      </c>
      <c r="AA27" s="7">
        <f t="shared" ca="1" si="6"/>
        <v>12</v>
      </c>
    </row>
    <row r="28" spans="1:27" ht="15" thickBot="1" x14ac:dyDescent="0.4">
      <c r="A28" s="7">
        <v>26</v>
      </c>
      <c r="B28" s="11">
        <f t="shared" ca="1" si="7"/>
        <v>44191</v>
      </c>
      <c r="C28" s="12">
        <f t="shared" ca="1" si="0"/>
        <v>44191</v>
      </c>
      <c r="E28" s="16" t="s">
        <v>3</v>
      </c>
      <c r="F28" s="23"/>
      <c r="G28" s="16" t="s">
        <v>4</v>
      </c>
      <c r="H28" s="15"/>
      <c r="I28" s="16" t="s">
        <v>33</v>
      </c>
      <c r="J28" s="24"/>
      <c r="K28" s="29" t="s">
        <v>37</v>
      </c>
      <c r="L28" s="9"/>
      <c r="M28" s="18">
        <f t="shared" ca="1" si="8"/>
        <v>0</v>
      </c>
      <c r="N28" s="18">
        <f t="shared" ca="1" si="9"/>
        <v>0</v>
      </c>
      <c r="O28" s="19">
        <f t="shared" ca="1" si="1"/>
        <v>0</v>
      </c>
      <c r="P28" s="9"/>
      <c r="Q28" s="20"/>
      <c r="R28" s="21" t="s">
        <v>8</v>
      </c>
      <c r="T28" s="22">
        <f t="shared" ca="1" si="10"/>
        <v>0</v>
      </c>
      <c r="U28" s="22">
        <f t="shared" ca="1" si="10"/>
        <v>0</v>
      </c>
      <c r="V28" s="22">
        <f t="shared" ca="1" si="10"/>
        <v>0</v>
      </c>
      <c r="W28" s="7">
        <f t="shared" ca="1" si="11"/>
        <v>7</v>
      </c>
      <c r="X28" s="19">
        <f t="shared" ca="1" si="3"/>
        <v>0</v>
      </c>
      <c r="Y28" s="7">
        <f t="shared" ca="1" si="4"/>
        <v>0</v>
      </c>
      <c r="Z28" s="7">
        <f t="shared" ca="1" si="5"/>
        <v>1</v>
      </c>
      <c r="AA28" s="7">
        <f t="shared" ca="1" si="6"/>
        <v>12</v>
      </c>
    </row>
    <row r="29" spans="1:27" ht="15" thickBot="1" x14ac:dyDescent="0.4">
      <c r="A29" s="7">
        <v>27</v>
      </c>
      <c r="B29" s="11">
        <f t="shared" ca="1" si="7"/>
        <v>44192</v>
      </c>
      <c r="C29" s="12">
        <f t="shared" ca="1" si="0"/>
        <v>44192</v>
      </c>
      <c r="D29" s="12"/>
      <c r="E29" s="29">
        <v>0.34375</v>
      </c>
      <c r="F29" s="23"/>
      <c r="G29" s="29">
        <v>0.5</v>
      </c>
      <c r="H29" s="15"/>
      <c r="I29" s="29">
        <v>0</v>
      </c>
      <c r="J29" s="24"/>
      <c r="K29" s="29">
        <v>0.52083333333333337</v>
      </c>
      <c r="L29" s="9"/>
      <c r="M29" s="18">
        <f t="shared" ca="1" si="8"/>
        <v>0</v>
      </c>
      <c r="N29" s="18">
        <f t="shared" ca="1" si="9"/>
        <v>0</v>
      </c>
      <c r="O29" s="19">
        <f t="shared" ca="1" si="1"/>
        <v>0</v>
      </c>
      <c r="P29" s="9"/>
      <c r="Q29" s="30"/>
      <c r="R29" s="21" t="s">
        <v>15</v>
      </c>
      <c r="T29" s="22">
        <f t="shared" ca="1" si="10"/>
        <v>0</v>
      </c>
      <c r="U29" s="22">
        <f t="shared" ca="1" si="10"/>
        <v>0</v>
      </c>
      <c r="V29" s="22">
        <f t="shared" ca="1" si="10"/>
        <v>0</v>
      </c>
      <c r="W29" s="7">
        <f t="shared" ca="1" si="11"/>
        <v>1</v>
      </c>
      <c r="X29" s="19">
        <f t="shared" ca="1" si="3"/>
        <v>0</v>
      </c>
      <c r="Y29" s="7">
        <f t="shared" ca="1" si="4"/>
        <v>0</v>
      </c>
      <c r="Z29" s="7">
        <f t="shared" ca="1" si="5"/>
        <v>1</v>
      </c>
      <c r="AA29" s="7">
        <f t="shared" ca="1" si="6"/>
        <v>12</v>
      </c>
    </row>
    <row r="30" spans="1:27" ht="15" thickBot="1" x14ac:dyDescent="0.4">
      <c r="A30" s="7">
        <v>28</v>
      </c>
      <c r="B30" s="11">
        <f t="shared" ca="1" si="7"/>
        <v>44193</v>
      </c>
      <c r="C30" s="12">
        <f t="shared" ca="1" si="0"/>
        <v>44193</v>
      </c>
      <c r="E30" s="29">
        <v>0.39583333333333331</v>
      </c>
      <c r="F30" s="23"/>
      <c r="G30" s="29">
        <v>0.58333333333333337</v>
      </c>
      <c r="H30" s="15"/>
      <c r="I30" s="29">
        <v>0.63541666666666663</v>
      </c>
      <c r="J30" s="24"/>
      <c r="K30" s="29">
        <v>0.77083333333333337</v>
      </c>
      <c r="L30" s="9"/>
      <c r="M30" s="18">
        <f t="shared" ca="1" si="8"/>
        <v>0.3229166666666668</v>
      </c>
      <c r="N30" s="18">
        <f t="shared" ca="1" si="9"/>
        <v>0.3229166666666668</v>
      </c>
      <c r="O30" s="19">
        <f t="shared" ca="1" si="1"/>
        <v>0</v>
      </c>
      <c r="P30" s="9"/>
      <c r="Q30" s="30"/>
      <c r="R30" s="21" t="s">
        <v>15</v>
      </c>
      <c r="T30" s="22">
        <f t="shared" ca="1" si="10"/>
        <v>465</v>
      </c>
      <c r="U30" s="22">
        <f t="shared" ca="1" si="10"/>
        <v>465</v>
      </c>
      <c r="V30" s="22">
        <f t="shared" ca="1" si="10"/>
        <v>0</v>
      </c>
      <c r="W30" s="7">
        <f t="shared" ca="1" si="11"/>
        <v>2</v>
      </c>
      <c r="X30" s="19">
        <f t="shared" ca="1" si="3"/>
        <v>0.33333333333333331</v>
      </c>
      <c r="Y30" s="7">
        <f t="shared" ca="1" si="4"/>
        <v>0</v>
      </c>
      <c r="Z30" s="7">
        <f t="shared" ca="1" si="5"/>
        <v>0</v>
      </c>
      <c r="AA30" s="7">
        <f t="shared" ca="1" si="6"/>
        <v>12</v>
      </c>
    </row>
    <row r="31" spans="1:27" ht="15" thickBot="1" x14ac:dyDescent="0.4">
      <c r="A31" s="7">
        <v>29</v>
      </c>
      <c r="B31" s="11">
        <f t="shared" ca="1" si="7"/>
        <v>44194</v>
      </c>
      <c r="C31" s="12">
        <f t="shared" ca="1" si="0"/>
        <v>44194</v>
      </c>
      <c r="D31" s="12"/>
      <c r="E31" s="29">
        <v>0.39583333333333331</v>
      </c>
      <c r="F31" s="23"/>
      <c r="G31" s="29">
        <v>0.58333333333333337</v>
      </c>
      <c r="H31" s="15"/>
      <c r="I31" s="29">
        <v>0.63541666666666663</v>
      </c>
      <c r="J31" s="24"/>
      <c r="K31" s="29">
        <v>0.77083333333333337</v>
      </c>
      <c r="L31" s="9"/>
      <c r="M31" s="18">
        <f t="shared" ca="1" si="8"/>
        <v>0.3229166666666668</v>
      </c>
      <c r="N31" s="18">
        <f t="shared" ca="1" si="9"/>
        <v>0.3229166666666668</v>
      </c>
      <c r="O31" s="19">
        <f t="shared" ca="1" si="1"/>
        <v>0</v>
      </c>
      <c r="P31" s="9"/>
      <c r="Q31" s="30"/>
      <c r="R31" s="21" t="s">
        <v>15</v>
      </c>
      <c r="T31" s="22">
        <f t="shared" ca="1" si="10"/>
        <v>465</v>
      </c>
      <c r="U31" s="22">
        <f t="shared" ca="1" si="10"/>
        <v>465</v>
      </c>
      <c r="V31" s="22">
        <f t="shared" ca="1" si="10"/>
        <v>0</v>
      </c>
      <c r="W31" s="7">
        <f t="shared" ca="1" si="11"/>
        <v>3</v>
      </c>
      <c r="X31" s="19">
        <f t="shared" ca="1" si="3"/>
        <v>0.33333333333333331</v>
      </c>
      <c r="Y31" s="7">
        <f t="shared" ca="1" si="4"/>
        <v>0</v>
      </c>
      <c r="Z31" s="7">
        <f t="shared" ca="1" si="5"/>
        <v>0</v>
      </c>
      <c r="AA31" s="7">
        <f t="shared" ca="1" si="6"/>
        <v>12</v>
      </c>
    </row>
    <row r="32" spans="1:27" ht="15" thickBot="1" x14ac:dyDescent="0.4">
      <c r="A32" s="7">
        <v>30</v>
      </c>
      <c r="B32" s="11">
        <f t="shared" ca="1" si="7"/>
        <v>44195</v>
      </c>
      <c r="C32" s="12">
        <f t="shared" ca="1" si="0"/>
        <v>44195</v>
      </c>
      <c r="E32" s="29">
        <v>0.39583333333333331</v>
      </c>
      <c r="F32" s="23"/>
      <c r="G32" s="29">
        <v>0.58333333333333337</v>
      </c>
      <c r="H32" s="15"/>
      <c r="I32" s="29">
        <v>0.63541666666666663</v>
      </c>
      <c r="J32" s="24"/>
      <c r="K32" s="29">
        <v>0.77083333333333337</v>
      </c>
      <c r="L32" s="9"/>
      <c r="M32" s="18">
        <f t="shared" ca="1" si="8"/>
        <v>0.3229166666666668</v>
      </c>
      <c r="N32" s="18">
        <f t="shared" ca="1" si="9"/>
        <v>0.3229166666666668</v>
      </c>
      <c r="O32" s="19">
        <f t="shared" ca="1" si="1"/>
        <v>0</v>
      </c>
      <c r="P32" s="9"/>
      <c r="Q32" s="30"/>
      <c r="R32" s="21" t="s">
        <v>15</v>
      </c>
      <c r="T32" s="22">
        <f t="shared" ca="1" si="10"/>
        <v>465</v>
      </c>
      <c r="U32" s="22">
        <f t="shared" ca="1" si="10"/>
        <v>465</v>
      </c>
      <c r="V32" s="22">
        <f t="shared" ca="1" si="10"/>
        <v>0</v>
      </c>
      <c r="W32" s="7">
        <f t="shared" ca="1" si="11"/>
        <v>4</v>
      </c>
      <c r="X32" s="19">
        <f t="shared" ca="1" si="3"/>
        <v>0.33333333333333331</v>
      </c>
      <c r="Y32" s="7">
        <f t="shared" ca="1" si="4"/>
        <v>0</v>
      </c>
      <c r="Z32" s="7">
        <f t="shared" ca="1" si="5"/>
        <v>0</v>
      </c>
      <c r="AA32" s="7">
        <f t="shared" ca="1" si="6"/>
        <v>12</v>
      </c>
    </row>
    <row r="33" spans="1:27" ht="15" thickBot="1" x14ac:dyDescent="0.4">
      <c r="A33" s="7">
        <v>31</v>
      </c>
      <c r="B33" s="11">
        <v>43861</v>
      </c>
      <c r="C33" s="12">
        <f t="shared" ca="1" si="0"/>
        <v>44196</v>
      </c>
      <c r="E33" s="29">
        <v>0.39583333333333331</v>
      </c>
      <c r="F33" s="23"/>
      <c r="G33" s="29">
        <v>0.58333333333333337</v>
      </c>
      <c r="H33" s="15"/>
      <c r="I33" s="29">
        <v>0.63541666666666663</v>
      </c>
      <c r="J33" s="24"/>
      <c r="K33" s="29">
        <v>0.77083333333333337</v>
      </c>
      <c r="L33" s="9"/>
      <c r="M33" s="18">
        <f t="shared" ca="1" si="8"/>
        <v>0.3229166666666668</v>
      </c>
      <c r="N33" s="18">
        <f t="shared" ca="1" si="9"/>
        <v>0.3229166666666668</v>
      </c>
      <c r="O33" s="19">
        <f t="shared" ca="1" si="1"/>
        <v>0</v>
      </c>
      <c r="P33" s="9"/>
      <c r="Q33" s="20"/>
      <c r="R33" s="21" t="s">
        <v>15</v>
      </c>
      <c r="T33" s="22">
        <f t="shared" ca="1" si="10"/>
        <v>465</v>
      </c>
      <c r="U33" s="22">
        <f t="shared" ca="1" si="10"/>
        <v>465</v>
      </c>
      <c r="V33" s="22">
        <f t="shared" ca="1" si="10"/>
        <v>0</v>
      </c>
      <c r="W33" s="7">
        <f t="shared" ca="1" si="11"/>
        <v>5</v>
      </c>
      <c r="X33" s="19">
        <f t="shared" ca="1" si="3"/>
        <v>0.33333333333333331</v>
      </c>
      <c r="Y33" s="7">
        <f t="shared" ca="1" si="4"/>
        <v>0</v>
      </c>
      <c r="Z33" s="7">
        <f t="shared" ca="1" si="5"/>
        <v>0</v>
      </c>
      <c r="AA33" s="7">
        <f t="shared" ca="1" si="6"/>
        <v>12</v>
      </c>
    </row>
    <row r="34" spans="1:27" ht="15" thickBot="1" x14ac:dyDescent="0.4">
      <c r="D34" s="12"/>
      <c r="L34" s="9"/>
      <c r="P34" s="9"/>
      <c r="Q34" s="22"/>
      <c r="V34" s="26"/>
      <c r="W34" s="26"/>
      <c r="X34" s="26"/>
    </row>
    <row r="35" spans="1:27" ht="15" thickBot="1" x14ac:dyDescent="0.4">
      <c r="K35" s="7" t="s">
        <v>16</v>
      </c>
      <c r="M35" s="27">
        <f ca="1">SUM(T3:T33)/60</f>
        <v>175.75</v>
      </c>
      <c r="N35" s="27">
        <f ca="1">SUM(U3:U33)/60</f>
        <v>167.75</v>
      </c>
      <c r="O35" s="27">
        <f ca="1">SUM(V3:V33)/60</f>
        <v>8</v>
      </c>
    </row>
    <row r="36" spans="1:27" x14ac:dyDescent="0.35">
      <c r="I36" s="22"/>
      <c r="O36" s="22"/>
    </row>
    <row r="39" spans="1:27" x14ac:dyDescent="0.35">
      <c r="E39" s="28"/>
    </row>
  </sheetData>
  <sheetProtection algorithmName="SHA-512" hashValue="aHQDdQYNL2ap+1o+r8xj4Lo3R4IYN5qRcnyGj9gAU1s/AJ6MLu5ysAwirAihefiDgVAS+hLZUjFfkXq3Npa/1w==" saltValue="bSqdOwJMhEYwz/vs8vep3Q==" spinCount="100000" sheet="1" objects="1" scenarios="1"/>
  <mergeCells count="1">
    <mergeCell ref="B1:C1"/>
  </mergeCells>
  <conditionalFormatting sqref="G3:G33 E3:E33">
    <cfRule type="expression" dxfId="46" priority="5">
      <formula>VALUE(SUBSTITUTE($G3,":",""))&lt;VALUE(SUBSTITUTE($E3,":",""))</formula>
    </cfRule>
  </conditionalFormatting>
  <conditionalFormatting sqref="I3:I33 K3:K33">
    <cfRule type="expression" dxfId="45" priority="9">
      <formula>($K3-$I3)&lt;0</formula>
    </cfRule>
  </conditionalFormatting>
  <conditionalFormatting sqref="O3:O33">
    <cfRule type="cellIs" dxfId="44" priority="8" operator="greaterThan">
      <formula>0.1</formula>
    </cfRule>
    <cfRule type="expression" dxfId="43" priority="15">
      <formula>$R3="Fecha cerrada"</formula>
    </cfRule>
  </conditionalFormatting>
  <conditionalFormatting sqref="N3:N33">
    <cfRule type="expression" dxfId="42" priority="14">
      <formula>VALUE(SUBSTITUTE($G3,":",""))&lt;VALUE(SUBSTITUTE($E3,":",""))</formula>
    </cfRule>
  </conditionalFormatting>
  <conditionalFormatting sqref="N3:N33">
    <cfRule type="expression" dxfId="41" priority="13">
      <formula>$R3="Fecha cerrada"</formula>
    </cfRule>
  </conditionalFormatting>
  <conditionalFormatting sqref="X3:X33">
    <cfRule type="expression" dxfId="40" priority="12">
      <formula>VALUE(SUBSTITUTE($G3,":",""))&lt;VALUE(SUBSTITUTE($E3,":",""))</formula>
    </cfRule>
  </conditionalFormatting>
  <conditionalFormatting sqref="X3:X33">
    <cfRule type="expression" dxfId="39" priority="11">
      <formula>$R3="Fecha cerrada"</formula>
    </cfRule>
  </conditionalFormatting>
  <conditionalFormatting sqref="Q3:R33 N3:O33 E3:K33">
    <cfRule type="expression" dxfId="38" priority="1">
      <formula>OR($W3=1,$W3=7,$AA3&lt;&gt;_xlfn.SHEET($A$1),,IFERROR(VLOOKUP($C3,DiasVacaciones,1,FALSE+$O$14:$Q$14),0)&lt;&gt;0)</formula>
    </cfRule>
  </conditionalFormatting>
  <conditionalFormatting sqref="R3:R33">
    <cfRule type="cellIs" dxfId="37" priority="6" operator="equal">
      <formula>"Confirmar Fecha"</formula>
    </cfRule>
    <cfRule type="cellIs" dxfId="36" priority="7" operator="equal">
      <formula>"Confirmada"</formula>
    </cfRule>
  </conditionalFormatting>
  <conditionalFormatting sqref="M3:M33">
    <cfRule type="expression" dxfId="35" priority="4">
      <formula>VALUE(SUBSTITUTE($G3,":",""))&lt;VALUE(SUBSTITUTE($E3,":",""))</formula>
    </cfRule>
  </conditionalFormatting>
  <conditionalFormatting sqref="M3:M33">
    <cfRule type="expression" dxfId="34" priority="3">
      <formula>$R3="Fecha cerrada"</formula>
    </cfRule>
  </conditionalFormatting>
  <conditionalFormatting sqref="M3:M33">
    <cfRule type="expression" dxfId="33" priority="2">
      <formula>OR($W3=1,$W3=7,$Z3=1,$AA3&lt;&gt;_xlfn.SHEET($A$1))</formula>
    </cfRule>
  </conditionalFormatting>
  <conditionalFormatting sqref="E3:E33 G3:G33 I3:I33 K3:K33">
    <cfRule type="expression" dxfId="32" priority="10">
      <formula>$R3="Confirmada"</formula>
    </cfRule>
    <cfRule type="expression" dxfId="31" priority="16">
      <formula>OR($W3=DiaSemanaIntensiva,IFERROR(VLOOKUP($C3,DiasIntensiva,1,FALSE+$O$14:$Q$14),0)&lt;&gt;0)</formula>
    </cfRule>
  </conditionalFormatting>
  <dataValidations count="1">
    <dataValidation type="list" allowBlank="1" showInputMessage="1" showErrorMessage="1" sqref="G3:G33 K3:K33 I3:I33 E3:E33">
      <formula1>Horas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39"/>
  <sheetViews>
    <sheetView workbookViewId="0">
      <selection activeCell="C32" sqref="C32"/>
    </sheetView>
  </sheetViews>
  <sheetFormatPr baseColWidth="10" defaultRowHeight="14.5" x14ac:dyDescent="0.35"/>
  <cols>
    <col min="1" max="1" width="23.08984375" style="2" customWidth="1"/>
    <col min="2" max="4" width="10.90625" style="2"/>
    <col min="5" max="5" width="5.453125" style="2" customWidth="1"/>
    <col min="6" max="7" width="10.90625" style="2"/>
    <col min="8" max="8" width="12.36328125" style="2" bestFit="1" customWidth="1"/>
    <col min="9" max="16384" width="10.90625" style="2"/>
  </cols>
  <sheetData>
    <row r="1" spans="1:9" ht="15" thickBot="1" x14ac:dyDescent="0.4"/>
    <row r="2" spans="1:9" ht="15" thickBot="1" x14ac:dyDescent="0.4">
      <c r="A2" s="2" t="s">
        <v>29</v>
      </c>
      <c r="B2" s="40" t="s">
        <v>41</v>
      </c>
    </row>
    <row r="3" spans="1:9" ht="15" thickBot="1" x14ac:dyDescent="0.4">
      <c r="D3" s="3" t="s">
        <v>12</v>
      </c>
      <c r="F3" s="35"/>
      <c r="H3" s="3" t="s">
        <v>13</v>
      </c>
      <c r="I3" s="35"/>
    </row>
    <row r="4" spans="1:9" ht="15" thickBot="1" x14ac:dyDescent="0.4">
      <c r="A4" s="2" t="s">
        <v>14</v>
      </c>
      <c r="B4" s="34">
        <v>2020</v>
      </c>
      <c r="F4" s="36"/>
      <c r="I4" s="36"/>
    </row>
    <row r="5" spans="1:9" ht="15" thickBot="1" x14ac:dyDescent="0.4">
      <c r="F5" s="36"/>
      <c r="I5" s="45"/>
    </row>
    <row r="6" spans="1:9" ht="15" thickBot="1" x14ac:dyDescent="0.4">
      <c r="A6" s="2" t="s">
        <v>25</v>
      </c>
      <c r="B6" s="42">
        <v>0.33333333333333331</v>
      </c>
      <c r="F6" s="37"/>
      <c r="I6" s="36"/>
    </row>
    <row r="7" spans="1:9" ht="15" thickBot="1" x14ac:dyDescent="0.4">
      <c r="F7" s="37"/>
      <c r="I7" s="36"/>
    </row>
    <row r="8" spans="1:9" ht="15" thickBot="1" x14ac:dyDescent="0.4">
      <c r="A8" s="2" t="s">
        <v>11</v>
      </c>
      <c r="B8" s="42">
        <v>0.25</v>
      </c>
      <c r="F8" s="37"/>
      <c r="I8" s="36"/>
    </row>
    <row r="9" spans="1:9" ht="15" thickBot="1" x14ac:dyDescent="0.4">
      <c r="F9" s="37"/>
      <c r="I9" s="36"/>
    </row>
    <row r="10" spans="1:9" ht="15" thickBot="1" x14ac:dyDescent="0.4">
      <c r="A10" s="2" t="s">
        <v>21</v>
      </c>
      <c r="B10" s="41">
        <v>6</v>
      </c>
      <c r="E10" s="7"/>
      <c r="F10" s="37"/>
      <c r="I10" s="36"/>
    </row>
    <row r="11" spans="1:9" x14ac:dyDescent="0.35">
      <c r="F11" s="37"/>
      <c r="I11" s="36"/>
    </row>
    <row r="12" spans="1:9" x14ac:dyDescent="0.35">
      <c r="A12" s="5" t="s">
        <v>26</v>
      </c>
      <c r="B12" s="5"/>
      <c r="C12" s="7"/>
      <c r="F12" s="37"/>
      <c r="I12" s="36"/>
    </row>
    <row r="13" spans="1:9" ht="15" thickBot="1" x14ac:dyDescent="0.4">
      <c r="C13" s="7"/>
      <c r="F13" s="37"/>
      <c r="I13" s="36"/>
    </row>
    <row r="14" spans="1:9" ht="15" thickBot="1" x14ac:dyDescent="0.4">
      <c r="A14" s="2" t="s">
        <v>22</v>
      </c>
      <c r="B14" s="33" t="s">
        <v>42</v>
      </c>
      <c r="F14" s="37"/>
      <c r="I14" s="36"/>
    </row>
    <row r="15" spans="1:9" ht="15" thickBot="1" x14ac:dyDescent="0.4">
      <c r="B15" s="4"/>
      <c r="F15" s="37"/>
      <c r="I15" s="36"/>
    </row>
    <row r="16" spans="1:9" ht="15" thickBot="1" x14ac:dyDescent="0.4">
      <c r="A16" s="2" t="s">
        <v>23</v>
      </c>
      <c r="B16" s="33" t="s">
        <v>4</v>
      </c>
      <c r="F16" s="37"/>
      <c r="I16" s="36"/>
    </row>
    <row r="17" spans="1:9" ht="15" thickBot="1" x14ac:dyDescent="0.4">
      <c r="B17" s="4"/>
      <c r="F17" s="37"/>
      <c r="I17" s="36"/>
    </row>
    <row r="18" spans="1:9" ht="15" thickBot="1" x14ac:dyDescent="0.4">
      <c r="A18" s="2" t="s">
        <v>24</v>
      </c>
      <c r="B18" s="33" t="s">
        <v>38</v>
      </c>
      <c r="F18" s="37"/>
      <c r="I18" s="36"/>
    </row>
    <row r="19" spans="1:9" ht="15" thickBot="1" x14ac:dyDescent="0.4">
      <c r="B19" s="4"/>
      <c r="F19" s="37"/>
      <c r="I19" s="36"/>
    </row>
    <row r="20" spans="1:9" ht="15" thickBot="1" x14ac:dyDescent="0.4">
      <c r="A20" s="2" t="s">
        <v>23</v>
      </c>
      <c r="B20" s="33" t="s">
        <v>6</v>
      </c>
      <c r="F20" s="37"/>
      <c r="I20" s="36"/>
    </row>
    <row r="21" spans="1:9" x14ac:dyDescent="0.35">
      <c r="F21" s="37"/>
      <c r="I21" s="36"/>
    </row>
    <row r="22" spans="1:9" x14ac:dyDescent="0.35">
      <c r="A22" s="5" t="s">
        <v>27</v>
      </c>
      <c r="F22" s="37"/>
      <c r="I22" s="36"/>
    </row>
    <row r="23" spans="1:9" ht="15" thickBot="1" x14ac:dyDescent="0.4">
      <c r="F23" s="37"/>
      <c r="I23" s="36"/>
    </row>
    <row r="24" spans="1:9" ht="15" thickBot="1" x14ac:dyDescent="0.4">
      <c r="A24" s="2" t="s">
        <v>22</v>
      </c>
      <c r="B24" s="43" t="s">
        <v>42</v>
      </c>
      <c r="F24" s="37"/>
      <c r="I24" s="36"/>
    </row>
    <row r="25" spans="1:9" ht="15" thickBot="1" x14ac:dyDescent="0.4">
      <c r="B25" s="4"/>
      <c r="F25" s="37"/>
      <c r="I25" s="36"/>
    </row>
    <row r="26" spans="1:9" ht="15" thickBot="1" x14ac:dyDescent="0.4">
      <c r="A26" s="2" t="s">
        <v>23</v>
      </c>
      <c r="B26" s="44" t="s">
        <v>40</v>
      </c>
      <c r="F26" s="37"/>
      <c r="I26" s="36"/>
    </row>
    <row r="27" spans="1:9" x14ac:dyDescent="0.35">
      <c r="F27" s="37"/>
      <c r="I27" s="36"/>
    </row>
    <row r="28" spans="1:9" x14ac:dyDescent="0.35">
      <c r="F28" s="37"/>
      <c r="I28" s="36"/>
    </row>
    <row r="29" spans="1:9" x14ac:dyDescent="0.35">
      <c r="C29" s="7"/>
      <c r="F29" s="37"/>
      <c r="I29" s="36"/>
    </row>
    <row r="30" spans="1:9" x14ac:dyDescent="0.35">
      <c r="F30" s="37"/>
      <c r="I30" s="36"/>
    </row>
    <row r="31" spans="1:9" x14ac:dyDescent="0.35">
      <c r="F31" s="37"/>
      <c r="I31" s="36"/>
    </row>
    <row r="32" spans="1:9" x14ac:dyDescent="0.35">
      <c r="F32" s="37"/>
      <c r="I32" s="36"/>
    </row>
    <row r="33" spans="6:9" x14ac:dyDescent="0.35">
      <c r="F33" s="37"/>
      <c r="I33" s="36"/>
    </row>
    <row r="34" spans="6:9" x14ac:dyDescent="0.35">
      <c r="F34" s="37"/>
      <c r="I34" s="36"/>
    </row>
    <row r="35" spans="6:9" x14ac:dyDescent="0.35">
      <c r="F35" s="37"/>
      <c r="I35" s="36"/>
    </row>
    <row r="36" spans="6:9" x14ac:dyDescent="0.35">
      <c r="F36" s="37"/>
      <c r="I36" s="36"/>
    </row>
    <row r="37" spans="6:9" x14ac:dyDescent="0.35">
      <c r="F37" s="37"/>
      <c r="I37" s="36"/>
    </row>
    <row r="38" spans="6:9" ht="15" thickBot="1" x14ac:dyDescent="0.4">
      <c r="F38" s="38"/>
      <c r="I38" s="39"/>
    </row>
    <row r="39" spans="6:9" x14ac:dyDescent="0.35">
      <c r="F39" s="7"/>
    </row>
  </sheetData>
  <sheetProtection algorithmName="SHA-512" hashValue="8i1IRVLOzsSGMAjQauY5jyyLVLCFC0ajL0fqcRo1Np3njV9TU86nJiEAxn9ZRQ1QZv86iBwJAceYdXAW24LJ6w==" saltValue="4Zfl7KEFxHkOzYBSc3xicw==" spinCount="100000" sheet="1" objects="1" scenarios="1"/>
  <dataValidations count="2">
    <dataValidation type="list" allowBlank="1" showInputMessage="1" showErrorMessage="1" sqref="B14 B16 B18 B20 B24 B26">
      <formula1>Horas</formula1>
    </dataValidation>
    <dataValidation type="list" allowBlank="1" showInputMessage="1" showErrorMessage="1" sqref="B2">
      <formula1>"completa,intensiva"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G53"/>
  <sheetViews>
    <sheetView workbookViewId="0">
      <selection activeCell="D8" sqref="D8"/>
    </sheetView>
  </sheetViews>
  <sheetFormatPr baseColWidth="10" defaultRowHeight="14.5" x14ac:dyDescent="0.35"/>
  <sheetData>
    <row r="2" spans="1:7" x14ac:dyDescent="0.35">
      <c r="A2" s="50">
        <v>8</v>
      </c>
      <c r="C2" s="49" t="str">
        <f>CONCATENATE(A2,":","00")</f>
        <v>8:00</v>
      </c>
      <c r="D2" s="1" t="str">
        <f>C2</f>
        <v>8:00</v>
      </c>
    </row>
    <row r="3" spans="1:7" x14ac:dyDescent="0.35">
      <c r="C3" s="49" t="str">
        <f>CONCATENATE(A2,":","15")</f>
        <v>8:15</v>
      </c>
      <c r="D3" t="str">
        <f t="shared" ref="D3:D53" si="0">SUBSTITUTE(C3,":","")</f>
        <v>815</v>
      </c>
    </row>
    <row r="4" spans="1:7" x14ac:dyDescent="0.35">
      <c r="C4" s="49" t="str">
        <f>CONCATENATE(A2,":","30")</f>
        <v>8:30</v>
      </c>
      <c r="D4" t="str">
        <f t="shared" si="0"/>
        <v>830</v>
      </c>
    </row>
    <row r="5" spans="1:7" x14ac:dyDescent="0.35">
      <c r="C5" s="49" t="str">
        <f>CONCATENATE(A2,":","45")</f>
        <v>8:45</v>
      </c>
      <c r="D5" t="str">
        <f t="shared" si="0"/>
        <v>845</v>
      </c>
    </row>
    <row r="6" spans="1:7" x14ac:dyDescent="0.35">
      <c r="A6">
        <v>9</v>
      </c>
      <c r="C6" s="1" t="str">
        <f t="shared" ref="C6:C53" si="1">CONCATENATE(A6,":","00")</f>
        <v>9:00</v>
      </c>
      <c r="D6" t="str">
        <f t="shared" si="0"/>
        <v>900</v>
      </c>
    </row>
    <row r="7" spans="1:7" x14ac:dyDescent="0.35">
      <c r="C7" s="1" t="str">
        <f t="shared" ref="C7:C53" si="2">CONCATENATE(A6,":","15")</f>
        <v>9:15</v>
      </c>
      <c r="D7" t="str">
        <f t="shared" si="0"/>
        <v>915</v>
      </c>
    </row>
    <row r="8" spans="1:7" x14ac:dyDescent="0.35">
      <c r="C8" s="1" t="str">
        <f t="shared" ref="C8" si="3">CONCATENATE(A6,":","30")</f>
        <v>9:30</v>
      </c>
      <c r="D8" t="str">
        <f t="shared" si="0"/>
        <v>930</v>
      </c>
    </row>
    <row r="9" spans="1:7" x14ac:dyDescent="0.35">
      <c r="C9" s="1" t="str">
        <f t="shared" ref="C9" si="4">CONCATENATE(A6,":","45")</f>
        <v>9:45</v>
      </c>
      <c r="D9" t="str">
        <f t="shared" si="0"/>
        <v>945</v>
      </c>
    </row>
    <row r="10" spans="1:7" x14ac:dyDescent="0.35">
      <c r="A10">
        <v>10</v>
      </c>
      <c r="C10" s="1" t="str">
        <f t="shared" ref="C10:C53" si="5">CONCATENATE(A10,":","00")</f>
        <v>10:00</v>
      </c>
      <c r="D10" t="str">
        <f t="shared" si="0"/>
        <v>1000</v>
      </c>
    </row>
    <row r="11" spans="1:7" x14ac:dyDescent="0.35">
      <c r="C11" s="1" t="str">
        <f t="shared" ref="C11:C53" si="6">CONCATENATE(A10,":","15")</f>
        <v>10:15</v>
      </c>
      <c r="D11" t="str">
        <f t="shared" si="0"/>
        <v>1015</v>
      </c>
    </row>
    <row r="12" spans="1:7" x14ac:dyDescent="0.35">
      <c r="C12" s="1" t="str">
        <f t="shared" ref="C12" si="7">CONCATENATE(A10,":","30")</f>
        <v>10:30</v>
      </c>
      <c r="D12" t="str">
        <f t="shared" si="0"/>
        <v>1030</v>
      </c>
    </row>
    <row r="13" spans="1:7" x14ac:dyDescent="0.35">
      <c r="C13" s="1" t="str">
        <f t="shared" ref="C13" si="8">CONCATENATE(A10,":","45")</f>
        <v>10:45</v>
      </c>
      <c r="D13" t="str">
        <f t="shared" si="0"/>
        <v>1045</v>
      </c>
      <c r="G13">
        <v>5</v>
      </c>
    </row>
    <row r="14" spans="1:7" x14ac:dyDescent="0.35">
      <c r="A14">
        <v>11</v>
      </c>
      <c r="C14" s="1" t="str">
        <f t="shared" ref="C14:C53" si="9">CONCATENATE(A14,":","00")</f>
        <v>11:00</v>
      </c>
      <c r="D14" t="str">
        <f t="shared" si="0"/>
        <v>1100</v>
      </c>
    </row>
    <row r="15" spans="1:7" x14ac:dyDescent="0.35">
      <c r="C15" s="1" t="str">
        <f t="shared" ref="C15:C53" si="10">CONCATENATE(A14,":","15")</f>
        <v>11:15</v>
      </c>
      <c r="D15" t="str">
        <f t="shared" si="0"/>
        <v>1115</v>
      </c>
    </row>
    <row r="16" spans="1:7" x14ac:dyDescent="0.35">
      <c r="C16" s="1" t="str">
        <f t="shared" ref="C16" si="11">CONCATENATE(A14,":","30")</f>
        <v>11:30</v>
      </c>
      <c r="D16" t="str">
        <f t="shared" si="0"/>
        <v>1130</v>
      </c>
    </row>
    <row r="17" spans="1:4" x14ac:dyDescent="0.35">
      <c r="C17" s="1" t="str">
        <f t="shared" ref="C17" si="12">CONCATENATE(A14,":","45")</f>
        <v>11:45</v>
      </c>
      <c r="D17" t="str">
        <f t="shared" si="0"/>
        <v>1145</v>
      </c>
    </row>
    <row r="18" spans="1:4" x14ac:dyDescent="0.35">
      <c r="A18">
        <v>12</v>
      </c>
      <c r="C18" s="1" t="str">
        <f t="shared" ref="C18:C53" si="13">CONCATENATE(A18,":","00")</f>
        <v>12:00</v>
      </c>
      <c r="D18" t="str">
        <f t="shared" si="0"/>
        <v>1200</v>
      </c>
    </row>
    <row r="19" spans="1:4" x14ac:dyDescent="0.35">
      <c r="C19" s="1" t="str">
        <f t="shared" ref="C19:C53" si="14">CONCATENATE(A18,":","15")</f>
        <v>12:15</v>
      </c>
      <c r="D19" t="str">
        <f t="shared" si="0"/>
        <v>1215</v>
      </c>
    </row>
    <row r="20" spans="1:4" x14ac:dyDescent="0.35">
      <c r="C20" s="1" t="str">
        <f t="shared" ref="C20" si="15">CONCATENATE(A18,":","30")</f>
        <v>12:30</v>
      </c>
      <c r="D20" t="str">
        <f t="shared" si="0"/>
        <v>1230</v>
      </c>
    </row>
    <row r="21" spans="1:4" x14ac:dyDescent="0.35">
      <c r="C21" s="1" t="str">
        <f t="shared" ref="C21" si="16">CONCATENATE(A18,":","45")</f>
        <v>12:45</v>
      </c>
      <c r="D21" t="str">
        <f t="shared" si="0"/>
        <v>1245</v>
      </c>
    </row>
    <row r="22" spans="1:4" x14ac:dyDescent="0.35">
      <c r="A22">
        <v>13</v>
      </c>
      <c r="C22" s="1" t="str">
        <f t="shared" ref="C22:C53" si="17">CONCATENATE(A22,":","00")</f>
        <v>13:00</v>
      </c>
      <c r="D22" t="str">
        <f t="shared" si="0"/>
        <v>1300</v>
      </c>
    </row>
    <row r="23" spans="1:4" x14ac:dyDescent="0.35">
      <c r="C23" s="1" t="str">
        <f t="shared" ref="C23:C53" si="18">CONCATENATE(A22,":","15")</f>
        <v>13:15</v>
      </c>
      <c r="D23" t="str">
        <f t="shared" si="0"/>
        <v>1315</v>
      </c>
    </row>
    <row r="24" spans="1:4" x14ac:dyDescent="0.35">
      <c r="C24" s="1" t="str">
        <f t="shared" ref="C24" si="19">CONCATENATE(A22,":","30")</f>
        <v>13:30</v>
      </c>
      <c r="D24" t="str">
        <f t="shared" si="0"/>
        <v>1330</v>
      </c>
    </row>
    <row r="25" spans="1:4" x14ac:dyDescent="0.35">
      <c r="C25" s="1" t="str">
        <f t="shared" ref="C25" si="20">CONCATENATE(A22,":","45")</f>
        <v>13:45</v>
      </c>
      <c r="D25" t="str">
        <f t="shared" si="0"/>
        <v>1345</v>
      </c>
    </row>
    <row r="26" spans="1:4" x14ac:dyDescent="0.35">
      <c r="A26">
        <v>14</v>
      </c>
      <c r="C26" s="1" t="str">
        <f t="shared" ref="C26:C53" si="21">CONCATENATE(A26,":","00")</f>
        <v>14:00</v>
      </c>
      <c r="D26" t="str">
        <f t="shared" si="0"/>
        <v>1400</v>
      </c>
    </row>
    <row r="27" spans="1:4" x14ac:dyDescent="0.35">
      <c r="C27" s="1" t="str">
        <f t="shared" ref="C27:C53" si="22">CONCATENATE(A26,":","15")</f>
        <v>14:15</v>
      </c>
      <c r="D27" t="str">
        <f t="shared" si="0"/>
        <v>1415</v>
      </c>
    </row>
    <row r="28" spans="1:4" x14ac:dyDescent="0.35">
      <c r="C28" s="1" t="str">
        <f t="shared" ref="C28" si="23">CONCATENATE(A26,":","30")</f>
        <v>14:30</v>
      </c>
      <c r="D28" t="str">
        <f t="shared" si="0"/>
        <v>1430</v>
      </c>
    </row>
    <row r="29" spans="1:4" x14ac:dyDescent="0.35">
      <c r="C29" s="1" t="str">
        <f t="shared" ref="C29" si="24">CONCATENATE(A26,":","45")</f>
        <v>14:45</v>
      </c>
      <c r="D29" t="str">
        <f t="shared" si="0"/>
        <v>1445</v>
      </c>
    </row>
    <row r="30" spans="1:4" x14ac:dyDescent="0.35">
      <c r="A30">
        <v>15</v>
      </c>
      <c r="C30" s="1" t="str">
        <f t="shared" ref="C30:C53" si="25">CONCATENATE(A30,":","00")</f>
        <v>15:00</v>
      </c>
      <c r="D30" t="str">
        <f t="shared" si="0"/>
        <v>1500</v>
      </c>
    </row>
    <row r="31" spans="1:4" x14ac:dyDescent="0.35">
      <c r="C31" s="1" t="str">
        <f t="shared" ref="C31:C53" si="26">CONCATENATE(A30,":","15")</f>
        <v>15:15</v>
      </c>
      <c r="D31" t="str">
        <f t="shared" si="0"/>
        <v>1515</v>
      </c>
    </row>
    <row r="32" spans="1:4" x14ac:dyDescent="0.35">
      <c r="C32" s="1" t="str">
        <f t="shared" ref="C32" si="27">CONCATENATE(A30,":","30")</f>
        <v>15:30</v>
      </c>
      <c r="D32" t="str">
        <f t="shared" si="0"/>
        <v>1530</v>
      </c>
    </row>
    <row r="33" spans="1:4" x14ac:dyDescent="0.35">
      <c r="C33" s="1" t="str">
        <f t="shared" ref="C33" si="28">CONCATENATE(A30,":","45")</f>
        <v>15:45</v>
      </c>
      <c r="D33" t="str">
        <f t="shared" si="0"/>
        <v>1545</v>
      </c>
    </row>
    <row r="34" spans="1:4" x14ac:dyDescent="0.35">
      <c r="A34">
        <v>16</v>
      </c>
      <c r="C34" s="1" t="str">
        <f t="shared" ref="C34:C53" si="29">CONCATENATE(A34,":","00")</f>
        <v>16:00</v>
      </c>
      <c r="D34" t="str">
        <f t="shared" si="0"/>
        <v>1600</v>
      </c>
    </row>
    <row r="35" spans="1:4" x14ac:dyDescent="0.35">
      <c r="C35" s="1" t="str">
        <f t="shared" ref="C35:C53" si="30">CONCATENATE(A34,":","15")</f>
        <v>16:15</v>
      </c>
      <c r="D35" t="str">
        <f t="shared" si="0"/>
        <v>1615</v>
      </c>
    </row>
    <row r="36" spans="1:4" x14ac:dyDescent="0.35">
      <c r="C36" s="1" t="str">
        <f t="shared" ref="C36" si="31">CONCATENATE(A34,":","30")</f>
        <v>16:30</v>
      </c>
      <c r="D36" t="str">
        <f t="shared" si="0"/>
        <v>1630</v>
      </c>
    </row>
    <row r="37" spans="1:4" x14ac:dyDescent="0.35">
      <c r="C37" s="1" t="str">
        <f t="shared" ref="C37" si="32">CONCATENATE(A34,":","45")</f>
        <v>16:45</v>
      </c>
      <c r="D37" t="str">
        <f t="shared" si="0"/>
        <v>1645</v>
      </c>
    </row>
    <row r="38" spans="1:4" x14ac:dyDescent="0.35">
      <c r="A38">
        <v>17</v>
      </c>
      <c r="C38" s="1" t="str">
        <f t="shared" ref="C38:C53" si="33">CONCATENATE(A38,":","00")</f>
        <v>17:00</v>
      </c>
      <c r="D38" t="str">
        <f t="shared" si="0"/>
        <v>1700</v>
      </c>
    </row>
    <row r="39" spans="1:4" x14ac:dyDescent="0.35">
      <c r="C39" s="1" t="str">
        <f t="shared" ref="C39:C53" si="34">CONCATENATE(A38,":","15")</f>
        <v>17:15</v>
      </c>
      <c r="D39" t="str">
        <f t="shared" si="0"/>
        <v>1715</v>
      </c>
    </row>
    <row r="40" spans="1:4" x14ac:dyDescent="0.35">
      <c r="C40" s="1" t="str">
        <f t="shared" ref="C40" si="35">CONCATENATE(A38,":","30")</f>
        <v>17:30</v>
      </c>
      <c r="D40" t="str">
        <f t="shared" si="0"/>
        <v>1730</v>
      </c>
    </row>
    <row r="41" spans="1:4" x14ac:dyDescent="0.35">
      <c r="C41" s="1" t="str">
        <f t="shared" ref="C41" si="36">CONCATENATE(A38,":","45")</f>
        <v>17:45</v>
      </c>
      <c r="D41" t="str">
        <f t="shared" si="0"/>
        <v>1745</v>
      </c>
    </row>
    <row r="42" spans="1:4" x14ac:dyDescent="0.35">
      <c r="A42">
        <v>18</v>
      </c>
      <c r="C42" s="1" t="str">
        <f t="shared" ref="C42:C53" si="37">CONCATENATE(A42,":","00")</f>
        <v>18:00</v>
      </c>
      <c r="D42" t="str">
        <f t="shared" si="0"/>
        <v>1800</v>
      </c>
    </row>
    <row r="43" spans="1:4" x14ac:dyDescent="0.35">
      <c r="C43" s="1" t="str">
        <f t="shared" ref="C43:C53" si="38">CONCATENATE(A42,":","15")</f>
        <v>18:15</v>
      </c>
      <c r="D43" t="str">
        <f t="shared" si="0"/>
        <v>1815</v>
      </c>
    </row>
    <row r="44" spans="1:4" x14ac:dyDescent="0.35">
      <c r="C44" s="1" t="str">
        <f t="shared" ref="C44" si="39">CONCATENATE(A42,":","30")</f>
        <v>18:30</v>
      </c>
      <c r="D44" t="str">
        <f t="shared" si="0"/>
        <v>1830</v>
      </c>
    </row>
    <row r="45" spans="1:4" x14ac:dyDescent="0.35">
      <c r="C45" s="1" t="str">
        <f t="shared" ref="C45" si="40">CONCATENATE(A42,":","45")</f>
        <v>18:45</v>
      </c>
      <c r="D45" t="str">
        <f t="shared" si="0"/>
        <v>1845</v>
      </c>
    </row>
    <row r="46" spans="1:4" x14ac:dyDescent="0.35">
      <c r="A46">
        <v>19</v>
      </c>
      <c r="C46" s="1" t="str">
        <f t="shared" ref="C46:C53" si="41">CONCATENATE(A46,":","00")</f>
        <v>19:00</v>
      </c>
      <c r="D46" t="str">
        <f t="shared" si="0"/>
        <v>1900</v>
      </c>
    </row>
    <row r="47" spans="1:4" x14ac:dyDescent="0.35">
      <c r="C47" s="1" t="str">
        <f t="shared" ref="C47:C53" si="42">CONCATENATE(A46,":","15")</f>
        <v>19:15</v>
      </c>
      <c r="D47" t="str">
        <f t="shared" si="0"/>
        <v>1915</v>
      </c>
    </row>
    <row r="48" spans="1:4" x14ac:dyDescent="0.35">
      <c r="C48" s="1" t="str">
        <f t="shared" ref="C48" si="43">CONCATENATE(A46,":","30")</f>
        <v>19:30</v>
      </c>
      <c r="D48" t="str">
        <f t="shared" si="0"/>
        <v>1930</v>
      </c>
    </row>
    <row r="49" spans="1:4" x14ac:dyDescent="0.35">
      <c r="C49" s="1" t="str">
        <f t="shared" ref="C49" si="44">CONCATENATE(A46,":","45")</f>
        <v>19:45</v>
      </c>
      <c r="D49" t="str">
        <f t="shared" si="0"/>
        <v>1945</v>
      </c>
    </row>
    <row r="50" spans="1:4" x14ac:dyDescent="0.35">
      <c r="A50">
        <v>20</v>
      </c>
      <c r="C50" s="1" t="str">
        <f t="shared" ref="C50:C53" si="45">CONCATENATE(A50,":","00")</f>
        <v>20:00</v>
      </c>
      <c r="D50" t="str">
        <f t="shared" si="0"/>
        <v>2000</v>
      </c>
    </row>
    <row r="51" spans="1:4" x14ac:dyDescent="0.35">
      <c r="C51" s="1" t="str">
        <f t="shared" ref="C51:C53" si="46">CONCATENATE(A50,":","15")</f>
        <v>20:15</v>
      </c>
      <c r="D51" t="str">
        <f t="shared" si="0"/>
        <v>2015</v>
      </c>
    </row>
    <row r="52" spans="1:4" x14ac:dyDescent="0.35">
      <c r="C52" s="1" t="str">
        <f t="shared" ref="C52" si="47">CONCATENATE(A50,":","30")</f>
        <v>20:30</v>
      </c>
      <c r="D52" t="str">
        <f t="shared" si="0"/>
        <v>2030</v>
      </c>
    </row>
    <row r="53" spans="1:4" x14ac:dyDescent="0.35">
      <c r="C53" s="1" t="str">
        <f t="shared" ref="C53" si="48">CONCATENATE(A50,":","45")</f>
        <v>20:45</v>
      </c>
      <c r="D53" t="str">
        <f t="shared" si="0"/>
        <v>2045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74</vt:i4>
      </vt:variant>
    </vt:vector>
  </HeadingPairs>
  <TitlesOfParts>
    <vt:vector size="88" baseType="lpstr">
      <vt:lpstr>Enero</vt:lpstr>
      <vt:lpstr>Febrero</vt:lpstr>
      <vt:lpstr>Marzo</vt:lpstr>
      <vt:lpstr>Abril</vt:lpstr>
      <vt:lpstr>Mayo</vt:lpstr>
      <vt:lpstr>Junio</vt:lpstr>
      <vt:lpstr>Julio</vt:lpstr>
      <vt:lpstr>Agosto</vt:lpstr>
      <vt:lpstr>Septiembre</vt:lpstr>
      <vt:lpstr>Octubre</vt:lpstr>
      <vt:lpstr>Noviembre</vt:lpstr>
      <vt:lpstr>Diciembre</vt:lpstr>
      <vt:lpstr>Settings</vt:lpstr>
      <vt:lpstr>LISTAS</vt:lpstr>
      <vt:lpstr>Anualidad</vt:lpstr>
      <vt:lpstr>DiaSemanaIntensiva</vt:lpstr>
      <vt:lpstr>DiasIntensiva</vt:lpstr>
      <vt:lpstr>DiasVacaciones</vt:lpstr>
      <vt:lpstr>Entradamananaintensiva</vt:lpstr>
      <vt:lpstr>EntradaMañana</vt:lpstr>
      <vt:lpstr>EntradaTarde</vt:lpstr>
      <vt:lpstr>Horas</vt:lpstr>
      <vt:lpstr>HorasIntensiva</vt:lpstr>
      <vt:lpstr>HorasOrdinarias</vt:lpstr>
      <vt:lpstr>Abril!manana1</vt:lpstr>
      <vt:lpstr>Agosto!manana1</vt:lpstr>
      <vt:lpstr>Diciembre!manana1</vt:lpstr>
      <vt:lpstr>Febrero!manana1</vt:lpstr>
      <vt:lpstr>Julio!manana1</vt:lpstr>
      <vt:lpstr>Junio!manana1</vt:lpstr>
      <vt:lpstr>Marzo!manana1</vt:lpstr>
      <vt:lpstr>Mayo!manana1</vt:lpstr>
      <vt:lpstr>Noviembre!manana1</vt:lpstr>
      <vt:lpstr>Octubre!manana1</vt:lpstr>
      <vt:lpstr>Septiembre!manana1</vt:lpstr>
      <vt:lpstr>manana1</vt:lpstr>
      <vt:lpstr>Abril!manana2</vt:lpstr>
      <vt:lpstr>Agosto!manana2</vt:lpstr>
      <vt:lpstr>Diciembre!manana2</vt:lpstr>
      <vt:lpstr>Febrero!manana2</vt:lpstr>
      <vt:lpstr>Julio!manana2</vt:lpstr>
      <vt:lpstr>Junio!manana2</vt:lpstr>
      <vt:lpstr>Marzo!manana2</vt:lpstr>
      <vt:lpstr>Mayo!manana2</vt:lpstr>
      <vt:lpstr>Noviembre!manana2</vt:lpstr>
      <vt:lpstr>Octubre!manana2</vt:lpstr>
      <vt:lpstr>Septiembre!manana2</vt:lpstr>
      <vt:lpstr>manana2</vt:lpstr>
      <vt:lpstr>Abril!NOMBRE</vt:lpstr>
      <vt:lpstr>Agosto!NOMBRE</vt:lpstr>
      <vt:lpstr>Diciembre!NOMBRE</vt:lpstr>
      <vt:lpstr>Febrero!NOMBRE</vt:lpstr>
      <vt:lpstr>Julio!NOMBRE</vt:lpstr>
      <vt:lpstr>Junio!NOMBRE</vt:lpstr>
      <vt:lpstr>Marzo!NOMBRE</vt:lpstr>
      <vt:lpstr>Mayo!NOMBRE</vt:lpstr>
      <vt:lpstr>Noviembre!NOMBRE</vt:lpstr>
      <vt:lpstr>Octubre!NOMBRE</vt:lpstr>
      <vt:lpstr>Septiembre!NOMBRE</vt:lpstr>
      <vt:lpstr>NOMBRE</vt:lpstr>
      <vt:lpstr>SalidaManana</vt:lpstr>
      <vt:lpstr>Salidamananaintensiva</vt:lpstr>
      <vt:lpstr>SalidaTarde</vt:lpstr>
      <vt:lpstr>Abril!tarde1</vt:lpstr>
      <vt:lpstr>Agosto!tarde1</vt:lpstr>
      <vt:lpstr>Diciembre!tarde1</vt:lpstr>
      <vt:lpstr>Febrero!tarde1</vt:lpstr>
      <vt:lpstr>Julio!tarde1</vt:lpstr>
      <vt:lpstr>Junio!tarde1</vt:lpstr>
      <vt:lpstr>Marzo!tarde1</vt:lpstr>
      <vt:lpstr>Mayo!tarde1</vt:lpstr>
      <vt:lpstr>Noviembre!tarde1</vt:lpstr>
      <vt:lpstr>Octubre!tarde1</vt:lpstr>
      <vt:lpstr>Septiembre!tarde1</vt:lpstr>
      <vt:lpstr>tarde1</vt:lpstr>
      <vt:lpstr>Abril!tarde2</vt:lpstr>
      <vt:lpstr>Agosto!tarde2</vt:lpstr>
      <vt:lpstr>Diciembre!tarde2</vt:lpstr>
      <vt:lpstr>Febrero!tarde2</vt:lpstr>
      <vt:lpstr>Julio!tarde2</vt:lpstr>
      <vt:lpstr>Junio!tarde2</vt:lpstr>
      <vt:lpstr>Marzo!tarde2</vt:lpstr>
      <vt:lpstr>Mayo!tarde2</vt:lpstr>
      <vt:lpstr>Noviembre!tarde2</vt:lpstr>
      <vt:lpstr>Octubre!tarde2</vt:lpstr>
      <vt:lpstr>Septiembre!tarde2</vt:lpstr>
      <vt:lpstr>tarde2</vt:lpstr>
      <vt:lpstr>tipoJornada</vt:lpstr>
    </vt:vector>
  </TitlesOfParts>
  <Company>PharmaMar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Baez Nunez, Juan Manuel</dc:creator>
  <cp:lastModifiedBy>Baez Nunez, Juan Manuel</cp:lastModifiedBy>
  <cp:lastPrinted>2020-10-28T21:20:26Z</cp:lastPrinted>
  <dcterms:created xsi:type="dcterms:W3CDTF">2020-10-08T07:40:54Z</dcterms:created>
  <dcterms:modified xsi:type="dcterms:W3CDTF">2020-11-03T16:31:34Z</dcterms:modified>
</cp:coreProperties>
</file>