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mbaez\Desktop\"/>
    </mc:Choice>
  </mc:AlternateContent>
  <bookViews>
    <workbookView xWindow="0" yWindow="0" windowWidth="19200" windowHeight="6470" tabRatio="796" activeTab="1"/>
  </bookViews>
  <sheets>
    <sheet name="Instrucciones" sheetId="13" r:id="rId1"/>
    <sheet name="FACTURA" sheetId="7" r:id="rId2"/>
    <sheet name="TABLA COMIDAS" sheetId="6" r:id="rId3"/>
    <sheet name="CLIENTES" sheetId="8" r:id="rId4"/>
    <sheet name="DB_FACTURAS" sheetId="9" r:id="rId5"/>
    <sheet name="DB_CONCEPTOS" sheetId="5" r:id="rId6"/>
    <sheet name="ANALISIS" sheetId="15" r:id="rId7"/>
  </sheets>
  <functionGroups builtInGroupCount="18"/>
  <definedNames>
    <definedName name="_xlnm.Print_Area" localSheetId="1">FACTURA!$A$1:$H$61</definedName>
    <definedName name="BALIZA">#REF!</definedName>
    <definedName name="CATALOGO">#REF!</definedName>
    <definedName name="COMIDA">FACTURA!$N$7</definedName>
    <definedName name="Comidas">Tabla_Comidas[COMIDAS]</definedName>
    <definedName name="FAC_CLIENTE">FACTURA!$E$17</definedName>
    <definedName name="FAC_ENVIO_IMPORTE">FACTURA!$G$48</definedName>
    <definedName name="FAC_FECHA">FACTURA!$F$14</definedName>
    <definedName name="FAC_REFCOMIDA">FACTURA!$M$7</definedName>
    <definedName name="FAC_REFERENCIA">FACTURA!$K$3</definedName>
    <definedName name="FAC_REFERENCIA2">FACTURA!$F$12</definedName>
    <definedName name="IVA">#REF!</definedName>
    <definedName name="NOMBRE_CLIENTES">Tabla_CLIENTES[NOMBRE]</definedName>
    <definedName name="TOTAL_ITEMS">'TABLA COMIDAS'!#REF!</definedName>
    <definedName name="VAR_Ultima_Factura">DB_FACTURAS!$H$1</definedName>
    <definedName name="VFECHA">#REF!</definedName>
    <definedName name="VNUMERO">#REF!</definedName>
  </definedNames>
  <calcPr calcId="162913"/>
  <pivotCaches>
    <pivotCache cacheId="7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7" l="1"/>
  <c r="G38" i="7"/>
  <c r="G37" i="7"/>
  <c r="G36" i="7"/>
  <c r="G35" i="7"/>
  <c r="G34" i="7"/>
  <c r="G33" i="7"/>
  <c r="G40" i="7"/>
  <c r="F12" i="7" l="1"/>
  <c r="N11" i="7" l="1"/>
  <c r="O11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26" i="7"/>
  <c r="P11" i="7"/>
  <c r="P19" i="7"/>
  <c r="P20" i="7"/>
  <c r="P13" i="7"/>
  <c r="P25" i="7"/>
  <c r="P16" i="7"/>
  <c r="P23" i="7"/>
  <c r="P24" i="7"/>
  <c r="P21" i="7"/>
  <c r="P15" i="7"/>
  <c r="P12" i="7"/>
  <c r="P14" i="7"/>
  <c r="P9" i="7"/>
  <c r="P18" i="7"/>
  <c r="P17" i="7"/>
  <c r="P10" i="7"/>
  <c r="P22" i="7"/>
  <c r="H1" i="9" l="1"/>
  <c r="N19" i="7" l="1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E18" i="7" l="1"/>
  <c r="E19" i="7"/>
  <c r="E20" i="7"/>
  <c r="E21" i="7"/>
  <c r="G49" i="7" l="1"/>
  <c r="G45" i="7" s="1"/>
  <c r="M7" i="7"/>
  <c r="N15" i="7" l="1"/>
  <c r="O15" i="7"/>
  <c r="N16" i="7"/>
  <c r="O16" i="7"/>
  <c r="N17" i="7"/>
  <c r="O17" i="7"/>
  <c r="N18" i="7"/>
  <c r="O18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O14" i="7"/>
  <c r="O10" i="7"/>
  <c r="O12" i="7"/>
  <c r="O13" i="7"/>
  <c r="N10" i="7"/>
  <c r="N12" i="7"/>
  <c r="N13" i="7"/>
  <c r="N14" i="7" l="1"/>
  <c r="N9" i="7"/>
  <c r="O9" i="7"/>
  <c r="G47" i="7" l="1"/>
</calcChain>
</file>

<file path=xl/sharedStrings.xml><?xml version="1.0" encoding="utf-8"?>
<sst xmlns="http://schemas.openxmlformats.org/spreadsheetml/2006/main" count="4395" uniqueCount="469">
  <si>
    <t>Fecha</t>
  </si>
  <si>
    <t>precio</t>
  </si>
  <si>
    <t>Concepto</t>
  </si>
  <si>
    <t>DOSJUMAR, SL</t>
  </si>
  <si>
    <t>Avda Valgrande, 14  Pol Ind Alcobendas</t>
  </si>
  <si>
    <t>28108 alcobendas (Madrid)</t>
  </si>
  <si>
    <t>catering@restaurantesjumar.com</t>
  </si>
  <si>
    <t>B-81967960</t>
  </si>
  <si>
    <t>FRA</t>
  </si>
  <si>
    <t>Fecha:</t>
  </si>
  <si>
    <t>CONCEPTO</t>
  </si>
  <si>
    <t>UND</t>
  </si>
  <si>
    <t>P.V.P</t>
  </si>
  <si>
    <t>TOTAL IMPORTE</t>
  </si>
  <si>
    <t>La posesión de este documento no es acreditativo de su pago.</t>
  </si>
  <si>
    <t xml:space="preserve"> El pago de la misma se acreditará mediante transferencia bancaria  o cheque nominativo a nuestro favor.</t>
  </si>
  <si>
    <t>Nº CCC: ES91 0049 3771 7125 1428 3682</t>
  </si>
  <si>
    <t>SUBTOTAL</t>
  </si>
  <si>
    <t>TIPO IMPOSITIVO</t>
  </si>
  <si>
    <t>ENVÍO Y TRAMITACIÓN</t>
  </si>
  <si>
    <t>TOTAL</t>
  </si>
  <si>
    <t>Referencia</t>
  </si>
  <si>
    <t>REF.</t>
  </si>
  <si>
    <t>PRODUCTO</t>
  </si>
  <si>
    <t>PRECIO</t>
  </si>
  <si>
    <t>CLIENTE</t>
  </si>
  <si>
    <t>AGREGAR</t>
  </si>
  <si>
    <t>QUITAR</t>
  </si>
  <si>
    <t>ARROW ECS INTERNET SECURITY, SL</t>
  </si>
  <si>
    <t>ARW ENTERPRISE COMPUTING SOLUTIONS, SA</t>
  </si>
  <si>
    <t>LINDORFF ESPAÑA SAU</t>
  </si>
  <si>
    <t>VARMA IMPORT EXPORT, SA</t>
  </si>
  <si>
    <t>Dirección: AVD DE EUROPA, 21</t>
  </si>
  <si>
    <t>Dirección:  Pº  de la Castellana 40BIS, 7ª Pl</t>
  </si>
  <si>
    <t>Dirección:  C/ GRANJA, 15 EDIFICIO VARMA</t>
  </si>
  <si>
    <t>Localidad:    ALCOBENDAS</t>
  </si>
  <si>
    <t>Localidad:   MADRID</t>
  </si>
  <si>
    <t>Provincia:  MADRID</t>
  </si>
  <si>
    <t>C.P.:   28108</t>
  </si>
  <si>
    <t>C.P.:    28046</t>
  </si>
  <si>
    <t xml:space="preserve">Nº PEDIDO </t>
  </si>
  <si>
    <t>Nº PEDIDO  11477</t>
  </si>
  <si>
    <t>N.I.F./C.I.F.     B83621649</t>
  </si>
  <si>
    <t>N.I.F./C.I.F.     A82111329</t>
  </si>
  <si>
    <t xml:space="preserve">N.I.F./C.I.F.     A85582377  </t>
  </si>
  <si>
    <t>N.I.F./C.I.F.     A 28430122</t>
  </si>
  <si>
    <t>ARROW ENTERPRISE COMPUTER SOLUTIONS, SAU</t>
  </si>
  <si>
    <t>FUNDACION ESPAÑOLA PARA LA CIENCIA Y TECNOLOGÍA</t>
  </si>
  <si>
    <t>LEICA MICROSISTEMAS, SLU</t>
  </si>
  <si>
    <t>MISCO IBERICA COMPUTER SUPPLIES SLU</t>
  </si>
  <si>
    <t>Dirección: C/ PINTOR VELAZQUEZ, 5</t>
  </si>
  <si>
    <t>Dirección:  C/ NICARAGUA 46</t>
  </si>
  <si>
    <t>PARQUE EMPRESARIAL OMEGA. AVDA BARAJAS 30 EDIFICIO D OFICINA B 1 PLANTA</t>
  </si>
  <si>
    <t>Localidad:   BARCELONA</t>
  </si>
  <si>
    <t>ALCOBENDAS</t>
  </si>
  <si>
    <t>Provincia:  BARCELONA</t>
  </si>
  <si>
    <t>MADRID</t>
  </si>
  <si>
    <t>C.P.:   08029</t>
  </si>
  <si>
    <t>PERS CONTACTO  JOSE LUIS SANCHEZ ALVAREZ   662384489</t>
  </si>
  <si>
    <t>N.I.F./C.I.F.     A14113500</t>
  </si>
  <si>
    <t>N.I.F./C.I.F.     G82999871</t>
  </si>
  <si>
    <t>N.I.F./C.I.F.     B 58521147</t>
  </si>
  <si>
    <t>N.I.F./C.I.F.      B 78915832</t>
  </si>
  <si>
    <t>INMEDIASTUDIO COMUNICACIÓN SL</t>
  </si>
  <si>
    <t xml:space="preserve">SIXSERVIX DOS , SL </t>
  </si>
  <si>
    <t>ALIMENTACION VARMA S.L.</t>
  </si>
  <si>
    <t>SCIL ANIMAL CARE COMPANY, SL</t>
  </si>
  <si>
    <t>Dirección: calle la granja 15 EDIF B BJ1</t>
  </si>
  <si>
    <t>Dirección:  AVDA D. SEVERO OCHOA 29</t>
  </si>
  <si>
    <t>Dirección:  C/ LA GRANJA  15</t>
  </si>
  <si>
    <t>Dirección:  C/ LA GRANJA Nº 15</t>
  </si>
  <si>
    <t>Localidad: ALCOBENDAS</t>
  </si>
  <si>
    <t>Localidad:   ALCOBENDAS</t>
  </si>
  <si>
    <t>Provincia: MADRID</t>
  </si>
  <si>
    <t>Provincia:  ALCOBENDAS</t>
  </si>
  <si>
    <t>C.P.: 28108</t>
  </si>
  <si>
    <t>C.P.:   28100</t>
  </si>
  <si>
    <t>Nº PEDIDO</t>
  </si>
  <si>
    <t>N.I.F./C.I.F. B85324481</t>
  </si>
  <si>
    <t>N.I.F./C.I.F.     B 86012242</t>
  </si>
  <si>
    <t>N.I.F./C.I.F.     B 86464492</t>
  </si>
  <si>
    <t>N.I.F./C.I.F.     B 80781024</t>
  </si>
  <si>
    <t xml:space="preserve">HOSPIRA PRODUCTOS FARMACEUTICOS </t>
  </si>
  <si>
    <t>GENETSIS PARTNERS S.L.</t>
  </si>
  <si>
    <t>CAMPOFRIO FOOD GROUP HOLDING SLU</t>
  </si>
  <si>
    <t>ANDREW ESPAÑA S.A.</t>
  </si>
  <si>
    <t>Y HOSPITALARIOS, SL</t>
  </si>
  <si>
    <t>Dirección:  C/ FRANCISCA DELGADO 11</t>
  </si>
  <si>
    <t>Dirección: C/ FRANCISCA DELGADO 11 2º</t>
  </si>
  <si>
    <t>AVENIDA DE EUROPA Nº 24</t>
  </si>
  <si>
    <t>AVENIDA DE EUROPA Nº 4 2 PLANTA</t>
  </si>
  <si>
    <t>EDIFICIO NEINVER</t>
  </si>
  <si>
    <t xml:space="preserve">Nº PEDIDO  </t>
  </si>
  <si>
    <t>N.I.F./C.I.F.     B83959056</t>
  </si>
  <si>
    <t>N.I.F./C.I.F.   B80959976</t>
  </si>
  <si>
    <t>NIF / CIF  B84658202</t>
  </si>
  <si>
    <t>NIF / CIF  B79717831</t>
  </si>
  <si>
    <t>DEKRA AUTOMOTIVE SOLUTIONS,SL</t>
  </si>
  <si>
    <t>Dirección:  C/ FRANCISCO GERVÁS Nº4</t>
  </si>
  <si>
    <t>BRAMMER IBERIA, SA</t>
  </si>
  <si>
    <t>DISEÑO Y ARQUITECTURA 360 SL</t>
  </si>
  <si>
    <t>EUROCOPIADORAS, SL</t>
  </si>
  <si>
    <t>Dirección: POL IND ERLETXE PLATAFORMA D 152  PAB 1</t>
  </si>
  <si>
    <t>Dirección: AVDA DE LA INDRUSTRIA, 1</t>
  </si>
  <si>
    <t>Dirección: AVDA DE FUENTEMAR, 43 NAVE 6A</t>
  </si>
  <si>
    <t>Localidad:    GALDACANO</t>
  </si>
  <si>
    <t>Localidad:    COSLADA</t>
  </si>
  <si>
    <t>Provincia:  BIZKAIA</t>
  </si>
  <si>
    <t>N.I.F./C.I.F.     B61829586</t>
  </si>
  <si>
    <t>C.P.:   48960</t>
  </si>
  <si>
    <t>C.P.:   28823</t>
  </si>
  <si>
    <t>C.P.:   28023</t>
  </si>
  <si>
    <t>AAB LIMPIEZAS MADRILEÑAS S.L.</t>
  </si>
  <si>
    <t>CIBERGRAF S.L.</t>
  </si>
  <si>
    <t>JUAN CARLOS NUÑEZ COLMENAREJO</t>
  </si>
  <si>
    <t>N.I.F./C.I.F.     A 48644264</t>
  </si>
  <si>
    <t>N.I.F./C.I.F.     B 86851607</t>
  </si>
  <si>
    <t>N.I.F./C.I.F.     B81579112</t>
  </si>
  <si>
    <t>Dirección: C/ REYES CATOLICOS  4-6 NAVE 3</t>
  </si>
  <si>
    <t>Dirección: C/ VALGRANDE Nº 10</t>
  </si>
  <si>
    <t>Dirección: C/ SAN BERNARDO Nº 1</t>
  </si>
  <si>
    <t>LIMSER CONTROL , SL</t>
  </si>
  <si>
    <t>MACATERING, SL</t>
  </si>
  <si>
    <t>TRANSALCALA DE HENARES, SL</t>
  </si>
  <si>
    <t>Dirección: AVDA DE LA INDUSTRIA, 38 A4</t>
  </si>
  <si>
    <t>Dirección: AVDA DE CANILLEJAS A VICALVARO, 129</t>
  </si>
  <si>
    <t>Dirección: C/HUERTOS 42 BJ A</t>
  </si>
  <si>
    <t>Localidad:    MADRID</t>
  </si>
  <si>
    <t>Localidad:    ARGANDA DEL REY</t>
  </si>
  <si>
    <t>N.I.F./C.I.F.     B80406960</t>
  </si>
  <si>
    <t>N.I.F./C.I.F.     B81094807</t>
  </si>
  <si>
    <t>N.I.F./C.I.F.     00269339D</t>
  </si>
  <si>
    <t>C.P.:   28022</t>
  </si>
  <si>
    <t>C.P.:   28500</t>
  </si>
  <si>
    <t>SAIMA SEGURIDAD</t>
  </si>
  <si>
    <t>GONZALO MONTALVEZ</t>
  </si>
  <si>
    <t>VIDEOJET TECHNOLOGIES</t>
  </si>
  <si>
    <t>N.I.F./C.I.F.     B 84227586</t>
  </si>
  <si>
    <t>N.I.F./C.I.F.     B85707479</t>
  </si>
  <si>
    <t>N.I.F./C.I.F.     B87282885</t>
  </si>
  <si>
    <t xml:space="preserve">Dirección: </t>
  </si>
  <si>
    <t>Dirección: C/ VALGRANDE Nº 8</t>
  </si>
  <si>
    <t>COSLA EXPRESS INTEGRAL SL</t>
  </si>
  <si>
    <t>TEMAR ELECTRONICA, SL</t>
  </si>
  <si>
    <t>MAN TRUCK &amp; BUS IBERIA, SA UNIPERSONAL</t>
  </si>
  <si>
    <t>Dirección: AVDA FUENTEMAR  20 NAVE A2</t>
  </si>
  <si>
    <t>Dirección: AVDA INDUSTRIA 38, NAVE 9A</t>
  </si>
  <si>
    <t>AVENIDA DE LA CAÑADA, 52</t>
  </si>
  <si>
    <t>COSLADA</t>
  </si>
  <si>
    <t>N.I.F./C.I.F.    A80573629</t>
  </si>
  <si>
    <t xml:space="preserve">N.I.F./C.I.F.    </t>
  </si>
  <si>
    <t>N.I.F./C.I.F.   B82169608</t>
  </si>
  <si>
    <t>NIF / CIF  A 78507498</t>
  </si>
  <si>
    <t>TOLDOS JARAMA</t>
  </si>
  <si>
    <t>AUTO MOTORSPORT S.L.</t>
  </si>
  <si>
    <t xml:space="preserve">BECKMAN COULTER </t>
  </si>
  <si>
    <t>N.I.F./C.I.F.     B85215028</t>
  </si>
  <si>
    <t>N.I.F./C.I.F.     B 81004558</t>
  </si>
  <si>
    <t>ATT VIRGINIA SANCHEZ</t>
  </si>
  <si>
    <t xml:space="preserve">Dirección: C/ VALGRANDE </t>
  </si>
  <si>
    <t>Dirección: C/ VALGRANDE Nº 17</t>
  </si>
  <si>
    <t>Dirección: PLAZA DE EUROPA 41-43 TORRE REALIA 4º Pl</t>
  </si>
  <si>
    <t>EMPLOT SOLUCIONES GRAFICAS, SL</t>
  </si>
  <si>
    <t>KAIZEN AG REPARTO, SLU</t>
  </si>
  <si>
    <t>Localidad:    L´HOSPITALET DE LLOBREGAT</t>
  </si>
  <si>
    <t>Dirección: AVDA INDUSTRIA, 38 NAVE C-3</t>
  </si>
  <si>
    <t>C/ LA MANCHA, 1 2,52</t>
  </si>
  <si>
    <t>C.P.:   08908</t>
  </si>
  <si>
    <t>N.I.F./C.I.F.   B82568734</t>
  </si>
  <si>
    <t>N.I.F./C.I.F.   B86459369</t>
  </si>
  <si>
    <t>FLUKE IBÉRICA  S.L.</t>
  </si>
  <si>
    <t>TEKTRONIX ESPAÑOLA S.A.</t>
  </si>
  <si>
    <t>RADIOMETER IBÉRICA S.L.</t>
  </si>
  <si>
    <t>N.I.F./C.I.F.     B 84106111</t>
  </si>
  <si>
    <t>NIF / CIF B 87649943</t>
  </si>
  <si>
    <t>Dirección: C/ VALGRANDE Nº 8 NAVE B 1-A</t>
  </si>
  <si>
    <t xml:space="preserve">Dirección: C/ VALGRANDE Nº 8 </t>
  </si>
  <si>
    <t>DYNAMIC BUSINESS SOLUTIONS S.L.</t>
  </si>
  <si>
    <t>DOCALIA, SL</t>
  </si>
  <si>
    <t>IS2 GLOBAL TELECOM SOLUTIONS S.L.</t>
  </si>
  <si>
    <t>Dirección: AVD DOCTOR SEVERO OCHOA Nº 39</t>
  </si>
  <si>
    <t>Dirección:  C/ LA GRANJA 35</t>
  </si>
  <si>
    <t>Dirección:  AVDA DOCTOR SEVERO OCHOA Nº 51 3ª PLNT</t>
  </si>
  <si>
    <t>EDIFICIO THANWORTH II PLANTA 2ª</t>
  </si>
  <si>
    <t>N.I.F./C.I.F.   B80497910</t>
  </si>
  <si>
    <t>N.I.F./C.I.F.   B28545051</t>
  </si>
  <si>
    <t>N.I.F./C.I.F.   B80355480</t>
  </si>
  <si>
    <t>C.P.:  28100</t>
  </si>
  <si>
    <t>NICOLAS SANCHEZ CALLEJA</t>
  </si>
  <si>
    <t>GESTIÓN DE ACEITES VEGETALES</t>
  </si>
  <si>
    <t>GIRBAU S.A.</t>
  </si>
  <si>
    <t>N.I.F./C.I.F.     B81892135</t>
  </si>
  <si>
    <t>N.I.F./C.I.F.   B83512491</t>
  </si>
  <si>
    <t>N.I.F./C.I.F.   B86771128</t>
  </si>
  <si>
    <t>Dirección: CALLE ESPLIEGO Nº 9</t>
  </si>
  <si>
    <t>Dirección: CALLE GAZTAMBIDE Nº 29</t>
  </si>
  <si>
    <t>Dirección: Crta DE MANLLEU KM 1</t>
  </si>
  <si>
    <t>Localidad:    ALOVERA</t>
  </si>
  <si>
    <t>Localidad:    VIC</t>
  </si>
  <si>
    <t>OUTSMART ASSISTANCE S.L.</t>
  </si>
  <si>
    <t>TREFIL CABLE</t>
  </si>
  <si>
    <t>EXTEL CONTACT S.A.U.</t>
  </si>
  <si>
    <t>Provincia:  GUADALAJARA</t>
  </si>
  <si>
    <t>Dirección: AVDA. Dr. SEVERO OCHOA Nº55 2ª PLANTA</t>
  </si>
  <si>
    <t>C.P.:   19208</t>
  </si>
  <si>
    <t>C.P.:   28015</t>
  </si>
  <si>
    <t>C.P.:   08500</t>
  </si>
  <si>
    <t>Dirección: AVDA. DOCTOR SEVERO OCHOA Nº 33</t>
  </si>
  <si>
    <t>Dirección: AVENIDA VALDELAPARRA Nº 3 NAVE 10</t>
  </si>
  <si>
    <t xml:space="preserve">PAE CASABLANCA II </t>
  </si>
  <si>
    <t>N.I.F./C.I.F.   51660225V</t>
  </si>
  <si>
    <t>N.I.F./C.I.F.   B81451262</t>
  </si>
  <si>
    <t xml:space="preserve">N.I.F./C.I.F.   </t>
  </si>
  <si>
    <t>LEZAMIT S.L.</t>
  </si>
  <si>
    <t>LABCO MADRID S.A.</t>
  </si>
  <si>
    <t>NASCARAUTO CB</t>
  </si>
  <si>
    <t>adeco angel castaño</t>
  </si>
  <si>
    <t>N.I.F./C.I.F.     B84130574</t>
  </si>
  <si>
    <t>N.I.F./C.I.F.     B80598816</t>
  </si>
  <si>
    <t>N.I.F./C.I.F.     A80221781</t>
  </si>
  <si>
    <t>Dirección: CALLE SANTA MARIA DE LA CABEZA Nº 177</t>
  </si>
  <si>
    <t>Dirección: CALLE VALGRANDE Nº 8</t>
  </si>
  <si>
    <t>Dirección: AVDA VALGRANDE, 15</t>
  </si>
  <si>
    <t>INMEDIASTUDIO COMUNICACIÓN S.L.</t>
  </si>
  <si>
    <t>IBA MOLECULAR SPAIN S.A.</t>
  </si>
  <si>
    <t>C.P.:   28026</t>
  </si>
  <si>
    <t>Dirección: AVDA. DOCTOR SEVERO OCHOA Nº 29</t>
  </si>
  <si>
    <t>N.I.F./C.I.F.   B85520153</t>
  </si>
  <si>
    <t>N.I.F./C.I.F.   A79462420</t>
  </si>
  <si>
    <t>N.I.F./C.I.F.   E 87039236</t>
  </si>
  <si>
    <t>MANUEL DURAN, SA</t>
  </si>
  <si>
    <t>ALSTOM POWER</t>
  </si>
  <si>
    <t>EMBAPALET 2010 S.L.</t>
  </si>
  <si>
    <t>WTC ALAMEDA PARK PLAZA DE LA PAU 3 , 3ª</t>
  </si>
  <si>
    <t>N.I.F./C.I.F.     B86012242</t>
  </si>
  <si>
    <t>N.I.F./C.I.F.     A84603133</t>
  </si>
  <si>
    <t>Dirección: AVDA VALGRANDE, 14</t>
  </si>
  <si>
    <t>08940 CORNELLA DE LLOBREGAT</t>
  </si>
  <si>
    <t>Dirección: AVDA VALGRANDE, 18 NAVE B</t>
  </si>
  <si>
    <t>A-79261566</t>
  </si>
  <si>
    <t>Nº ORDEN 4100425358 / 0</t>
  </si>
  <si>
    <t>DIRECCION ENVIO</t>
  </si>
  <si>
    <t>GRUPO ALSTOM</t>
  </si>
  <si>
    <t>N.I.F./C.I.F.   A 78621117</t>
  </si>
  <si>
    <t>PASEO DE LA CASTELLANA Nº 257  6º PLANTA</t>
  </si>
  <si>
    <t>N.I.F./C.I.F.   B 85966802</t>
  </si>
  <si>
    <t>28046 MADRID</t>
  </si>
  <si>
    <t>LABORATORIOS FARMACEUTICOS ZOMEC S.L.</t>
  </si>
  <si>
    <t>ATT. Dpto. CUENTAS A PAGAR</t>
  </si>
  <si>
    <t>Dirección: AVDA VALGRANDE</t>
  </si>
  <si>
    <t>GEMALTO SP , SA</t>
  </si>
  <si>
    <t>AVDA DE EUROPA, 19 3º PLANTA</t>
  </si>
  <si>
    <t xml:space="preserve">28108 ALCOBENDAS </t>
  </si>
  <si>
    <t xml:space="preserve">MADRID </t>
  </si>
  <si>
    <t>N.I.F./C.I.F.   B 08710386</t>
  </si>
  <si>
    <t>A 08152720</t>
  </si>
  <si>
    <t>LABCO PATHOLOGY S.L.</t>
  </si>
  <si>
    <t>IVC OUTSOURCING CVI S.L.</t>
  </si>
  <si>
    <t xml:space="preserve">AVANTE PRODUCCIONES E COMMERCE S.L. </t>
  </si>
  <si>
    <t>Dirección: C/ SANTIAGO RUSIÑOL Nº 12</t>
  </si>
  <si>
    <t>Dirección: Ctra. FUENCARRAL-ALCOBENDAS KM. 3,800</t>
  </si>
  <si>
    <t>Dirección: CALLE VALGRANDE 14</t>
  </si>
  <si>
    <t>C.P.:  28040</t>
  </si>
  <si>
    <t>N.I.F./C.I.F.     B-79113841</t>
  </si>
  <si>
    <t>N.I.F./C.I.F.   B82716655</t>
  </si>
  <si>
    <t>N.I.F./C.I.F.   B85508547</t>
  </si>
  <si>
    <t>GEA REFRIGERATION IBÉRICA S.A.</t>
  </si>
  <si>
    <t>Dirección: CALLE CANTABRIA 2 (EDIFICIO AMURA)</t>
  </si>
  <si>
    <t>N.I.F./C.I.F.     A28124204</t>
  </si>
  <si>
    <t>CIF</t>
  </si>
  <si>
    <t>Dirección</t>
  </si>
  <si>
    <t>CP</t>
  </si>
  <si>
    <t>Columna6</t>
  </si>
  <si>
    <t>Columna7</t>
  </si>
  <si>
    <t>GUADALAJARA</t>
  </si>
  <si>
    <t>BARCELONA</t>
  </si>
  <si>
    <t>BIZKAIA</t>
  </si>
  <si>
    <t>NOMBRE</t>
  </si>
  <si>
    <t>POBLACION</t>
  </si>
  <si>
    <t>PROVINCIA</t>
  </si>
  <si>
    <t>COMIDAS</t>
  </si>
  <si>
    <t>REF</t>
  </si>
  <si>
    <t>Desayuno</t>
  </si>
  <si>
    <t>Brunch</t>
  </si>
  <si>
    <t>Almuerzo</t>
  </si>
  <si>
    <t>Aperitivo</t>
  </si>
  <si>
    <t>Comida</t>
  </si>
  <si>
    <t>Merienda</t>
  </si>
  <si>
    <t xml:space="preserve">Cena </t>
  </si>
  <si>
    <t>Recena</t>
  </si>
  <si>
    <t>DE</t>
  </si>
  <si>
    <t>CO</t>
  </si>
  <si>
    <t>ME</t>
  </si>
  <si>
    <t>BR</t>
  </si>
  <si>
    <t>AL</t>
  </si>
  <si>
    <t>AP</t>
  </si>
  <si>
    <t>CE</t>
  </si>
  <si>
    <t>RE</t>
  </si>
  <si>
    <t>ref</t>
  </si>
  <si>
    <t>Tabla comidas</t>
  </si>
  <si>
    <t>Estos datos son críticos para el funcionamiento. No borrar ninguna tabla o campo que estén coloreados en verde</t>
  </si>
  <si>
    <t>Nº Factura</t>
  </si>
  <si>
    <t>IMPUESTO SOBRE VENTAS</t>
  </si>
  <si>
    <t>numero</t>
  </si>
  <si>
    <t>cliente</t>
  </si>
  <si>
    <t>fecha</t>
  </si>
  <si>
    <t>envío</t>
  </si>
  <si>
    <t>¡Importante!</t>
  </si>
  <si>
    <t>Plato</t>
  </si>
  <si>
    <t>Precio</t>
  </si>
  <si>
    <t>Una vez definido lo anterior estamos listos para incluir una factura</t>
  </si>
  <si>
    <t>Incluir una nueva actura</t>
  </si>
  <si>
    <t>Antes de crear una factura</t>
  </si>
  <si>
    <t>1) Asegurarse de que todos los platos se incluyen en el menu.</t>
  </si>
  <si>
    <t>Factura</t>
  </si>
  <si>
    <t>comida</t>
  </si>
  <si>
    <t>concepto</t>
  </si>
  <si>
    <t>referencia</t>
  </si>
  <si>
    <t>items</t>
  </si>
  <si>
    <t>total</t>
  </si>
  <si>
    <t xml:space="preserve">Notas importantes. </t>
  </si>
  <si>
    <t>Modificar una factura</t>
  </si>
  <si>
    <t>1) Pulsar el botón "Factura en blanco"</t>
  </si>
  <si>
    <t>2) Incluir los tipos de comidas (desayuno, brunch, almuerzo, comida, etc.) en "TABLA COMIDAS"</t>
  </si>
  <si>
    <t>3) Incluir los clientes o nuevos clientes en la tabla de la pestaña clientes en pestaña "CLIENTES"</t>
  </si>
  <si>
    <t>1) Dar en el ticker modificar factura. Desaparecerá el boton nueva "Factura en blanco y aparece "Modificar Factura"</t>
  </si>
  <si>
    <t xml:space="preserve">2) Modificar la factura </t>
  </si>
  <si>
    <t>Parte técnica</t>
  </si>
  <si>
    <r>
      <rPr>
        <b/>
        <sz val="11"/>
        <color rgb="FFFF0000"/>
        <rFont val="Calibri"/>
        <family val="2"/>
        <scheme val="minor"/>
      </rPr>
      <t xml:space="preserve">Importante!: </t>
    </r>
    <r>
      <rPr>
        <b/>
        <sz val="11"/>
        <color theme="1"/>
        <rFont val="Calibri"/>
        <family val="2"/>
        <scheme val="minor"/>
      </rPr>
      <t>No moficar las pestañas rojas</t>
    </r>
  </si>
  <si>
    <t>Referencia univoca</t>
  </si>
  <si>
    <t>2) En la pestaña amarilla elegir la comida</t>
  </si>
  <si>
    <t>3) Incluir cliente Cliente (desplegable procedente de la hoja (CLIENTES)</t>
  </si>
  <si>
    <t>3) Fecha: Por defecto la del día se puede incluir cualquier otra. Se puede modificar a mano</t>
  </si>
  <si>
    <t>Navegar por las facturas y numeración</t>
  </si>
  <si>
    <t>1) "Factura en Blanco" siempre incluira un numero más al maximo encontrado</t>
  </si>
  <si>
    <t>2) Se puede elgir manualmente el número de factura (Cuidado con los espacios)</t>
  </si>
  <si>
    <t>3) Con las flechas se puede navegar entre factuas.</t>
  </si>
  <si>
    <t>DB_FACTURAS : Base de datos con los datos básicos de identifiación de la factura.</t>
  </si>
  <si>
    <t>DB_CONCEPTOS: Base de datos con los items de cada factura.</t>
  </si>
  <si>
    <t>Particularidades para que funciones si se hace una copia con base de datos bacía.</t>
  </si>
  <si>
    <t>Siempre debe haber una primera factura en blanco en las pestaña DB_FACTURAS</t>
  </si>
  <si>
    <t>ITEMS EN FAC.</t>
  </si>
  <si>
    <t>JU001</t>
  </si>
  <si>
    <t>JU002</t>
  </si>
  <si>
    <t>JU003</t>
  </si>
  <si>
    <t>JU004</t>
  </si>
  <si>
    <t>JU005</t>
  </si>
  <si>
    <t>JU006</t>
  </si>
  <si>
    <t>JU007</t>
  </si>
  <si>
    <t>JU008</t>
  </si>
  <si>
    <t>JU009</t>
  </si>
  <si>
    <t>JU010</t>
  </si>
  <si>
    <t>JU011</t>
  </si>
  <si>
    <t>JU012</t>
  </si>
  <si>
    <t>JU013</t>
  </si>
  <si>
    <t>JU014</t>
  </si>
  <si>
    <t>JU015</t>
  </si>
  <si>
    <t>JU016</t>
  </si>
  <si>
    <t>JU017</t>
  </si>
  <si>
    <t>*</t>
  </si>
  <si>
    <t xml:space="preserve">última factura </t>
  </si>
  <si>
    <t>4) Si el campo de "envío" no se relleno nos preguntará si hay que rellenarlo.</t>
  </si>
  <si>
    <t>Cada plato debe ir con Referencia univoca para un buen funcionamiento</t>
  </si>
  <si>
    <t>Las pestañas ROJAS son las que contienen la base de datos. Una contiene los datos básicos de la factura y la otra sus items</t>
  </si>
  <si>
    <t>Por revisar</t>
  </si>
  <si>
    <t>Grabación de Facturas en formato XLSX de forma individual</t>
  </si>
  <si>
    <t>Revisión consistencia de la base de datos</t>
  </si>
  <si>
    <t>Protección de la hoja</t>
  </si>
  <si>
    <t xml:space="preserve">V1,0 versión alpha </t>
  </si>
  <si>
    <r>
      <t xml:space="preserve">4) </t>
    </r>
    <r>
      <rPr>
        <b/>
        <sz val="11"/>
        <color rgb="FFFF0000"/>
        <rFont val="Calibri"/>
        <family val="2"/>
        <scheme val="minor"/>
      </rPr>
      <t xml:space="preserve">Importante!: </t>
    </r>
    <r>
      <rPr>
        <sz val="11"/>
        <color theme="1"/>
        <rFont val="Calibri"/>
        <family val="2"/>
        <scheme val="minor"/>
      </rPr>
      <t xml:space="preserve">Pulsar </t>
    </r>
    <r>
      <rPr>
        <b/>
        <sz val="11"/>
        <color theme="1"/>
        <rFont val="Calibri"/>
        <family val="2"/>
        <scheme val="minor"/>
      </rPr>
      <t>Grabar factura para guardar los cambios</t>
    </r>
  </si>
  <si>
    <r>
      <t xml:space="preserve">5) </t>
    </r>
    <r>
      <rPr>
        <b/>
        <sz val="11"/>
        <color rgb="FFFF0000"/>
        <rFont val="Calibri"/>
        <family val="2"/>
        <scheme val="minor"/>
      </rPr>
      <t xml:space="preserve">Importante!: </t>
    </r>
    <r>
      <rPr>
        <sz val="11"/>
        <color theme="1"/>
        <rFont val="Calibri"/>
        <family val="2"/>
        <scheme val="minor"/>
      </rPr>
      <t xml:space="preserve">Pulsar </t>
    </r>
    <r>
      <rPr>
        <b/>
        <sz val="11"/>
        <color theme="1"/>
        <rFont val="Calibri"/>
        <family val="2"/>
        <scheme val="minor"/>
      </rPr>
      <t>Grabar factura</t>
    </r>
  </si>
  <si>
    <t>JU004-RE</t>
  </si>
  <si>
    <t>(en blanco)</t>
  </si>
  <si>
    <t>Total general</t>
  </si>
  <si>
    <t>Etiquetas de fila</t>
  </si>
  <si>
    <t>Suma de items</t>
  </si>
  <si>
    <t>Suma de total</t>
  </si>
  <si>
    <r>
      <t>FACTURA</t>
    </r>
    <r>
      <rPr>
        <b/>
        <sz val="36"/>
        <color rgb="FFFF0000"/>
        <rFont val="Arial"/>
        <family val="2"/>
      </rPr>
      <t xml:space="preserve"> </t>
    </r>
  </si>
  <si>
    <t>Concepto 3</t>
  </si>
  <si>
    <t>Concepto 4</t>
  </si>
  <si>
    <t>Concepto 5</t>
  </si>
  <si>
    <t>Concepto 6</t>
  </si>
  <si>
    <t>Concepto 7</t>
  </si>
  <si>
    <t>Concepto 8</t>
  </si>
  <si>
    <t>Concepto 9</t>
  </si>
  <si>
    <t>Concepto 10</t>
  </si>
  <si>
    <t>Concepto 11</t>
  </si>
  <si>
    <t>Concepto 12</t>
  </si>
  <si>
    <t>Concepto 13</t>
  </si>
  <si>
    <t>Concepto 14</t>
  </si>
  <si>
    <t>Concepto 15</t>
  </si>
  <si>
    <t>Concepto 16</t>
  </si>
  <si>
    <t>Concepto 17</t>
  </si>
  <si>
    <t>Here you Logo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</si>
  <si>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</si>
  <si>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</si>
  <si>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</si>
  <si>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</si>
  <si>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</si>
  <si>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</si>
  <si>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</si>
  <si>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</si>
  <si>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</si>
  <si>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</si>
  <si>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</si>
  <si>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</si>
  <si>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</si>
  <si>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</si>
  <si>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</si>
  <si>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</si>
  <si>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</si>
  <si>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</si>
  <si>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Cliente 19</t>
  </si>
  <si>
    <t>Cliente 20</t>
  </si>
  <si>
    <t>Cliente 21</t>
  </si>
  <si>
    <t>Cliente 22</t>
  </si>
  <si>
    <t>Cliente 23</t>
  </si>
  <si>
    <t>Cliente 24</t>
  </si>
  <si>
    <t>Cliente 25</t>
  </si>
  <si>
    <t>Cliente 26</t>
  </si>
  <si>
    <t>Cliente 27</t>
  </si>
  <si>
    <t>Cliente 28</t>
  </si>
  <si>
    <t>Cliente 29</t>
  </si>
  <si>
    <t>Cliente 30</t>
  </si>
  <si>
    <t>Cliente 31</t>
  </si>
  <si>
    <t>Cliente 32</t>
  </si>
  <si>
    <t>Cliente 33</t>
  </si>
  <si>
    <t>Cliente 34</t>
  </si>
  <si>
    <t>Cliente 35</t>
  </si>
  <si>
    <t>Cliente 36</t>
  </si>
  <si>
    <t>Cliente 37</t>
  </si>
  <si>
    <t>Cliente 38</t>
  </si>
  <si>
    <t>Cliente 39</t>
  </si>
  <si>
    <t>Cliente 40</t>
  </si>
  <si>
    <t>Cliente 41</t>
  </si>
  <si>
    <t>Cliente 42</t>
  </si>
  <si>
    <t>Cliente 43</t>
  </si>
  <si>
    <t>Cliente 44</t>
  </si>
  <si>
    <t>Cliente 45</t>
  </si>
  <si>
    <t>Cliente 46</t>
  </si>
  <si>
    <t>Cliente 47</t>
  </si>
  <si>
    <t>Cliente 48</t>
  </si>
  <si>
    <t>Cliente 49</t>
  </si>
  <si>
    <t>Cliente 50</t>
  </si>
  <si>
    <t>Cliente 51</t>
  </si>
  <si>
    <t>Cliente 52</t>
  </si>
  <si>
    <t>Cliente 53</t>
  </si>
  <si>
    <t>Cliente 54</t>
  </si>
  <si>
    <t>Cliente 55</t>
  </si>
  <si>
    <t>Cliente 56</t>
  </si>
  <si>
    <t>Cliente 57</t>
  </si>
  <si>
    <t>POZUELO</t>
  </si>
  <si>
    <t>MAHADAHONDA</t>
  </si>
  <si>
    <t>FAXEL 1.1 S</t>
  </si>
  <si>
    <t xml:space="preserve">Sistema sencillo para elaborar y llevar una base de datos facturas solo con excel. </t>
  </si>
  <si>
    <t>Plato2</t>
  </si>
  <si>
    <t>Plato1</t>
  </si>
  <si>
    <t>JU002-RE</t>
  </si>
  <si>
    <t>JU006-RE</t>
  </si>
  <si>
    <t>JU009-RE</t>
  </si>
  <si>
    <t>JU001-CO</t>
  </si>
  <si>
    <t>JU002-CO</t>
  </si>
  <si>
    <t>JU003-CO</t>
  </si>
  <si>
    <t>JU005-CO</t>
  </si>
  <si>
    <t>JU008-CO</t>
  </si>
  <si>
    <t>JU012-CO</t>
  </si>
  <si>
    <t>JU015-CO</t>
  </si>
  <si>
    <t>JU009-CO</t>
  </si>
  <si>
    <t>JU006-CO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</si>
</sst>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-1]_-;\-* #,##0.00\ [$€-1]_-;_-* &quot;-&quot;??\ [$€-1]_-;_-@_-"/>
    <numFmt numFmtId="165" formatCode="#,##0.00\ &quot;Pts&quot;;[Red]\-#,##0.00\ &quot;Pts&quot;"/>
    <numFmt numFmtId="166" formatCode="#,##0.00\ &quot;€&quot;"/>
    <numFmt numFmtId="167" formatCode="[$-C0A]d\-mmm\-yy;@"/>
    <numFmt numFmtId="168" formatCode="@\ \ "/>
    <numFmt numFmtId="169" formatCode="_-* #,##0.00\ [$€-C0A]_-;\-* #,##0.00\ [$€-C0A]_-;_-* &quot;-&quot;??\ [$€-C0A]_-;_-@_-"/>
  </numFmts>
  <fonts count="4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omic Sans MS"/>
      <family val="4"/>
    </font>
    <font>
      <b/>
      <sz val="18"/>
      <name val="Arial"/>
      <family val="2"/>
    </font>
    <font>
      <i/>
      <sz val="10"/>
      <name val="Comic Sans MS"/>
      <family val="4"/>
    </font>
    <font>
      <sz val="9"/>
      <name val="Comic Sans MS"/>
      <family val="4"/>
    </font>
    <font>
      <u/>
      <sz val="10"/>
      <color indexed="12"/>
      <name val="Arial"/>
      <family val="2"/>
    </font>
    <font>
      <sz val="10"/>
      <name val="Comic Sans MS"/>
      <family val="4"/>
    </font>
    <font>
      <b/>
      <sz val="1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b/>
      <sz val="10"/>
      <name val="Comic Sans MS"/>
      <family val="4"/>
    </font>
    <font>
      <sz val="10"/>
      <name val="Century Gothic"/>
      <family val="2"/>
    </font>
    <font>
      <b/>
      <sz val="10"/>
      <color theme="0"/>
      <name val="Arial"/>
      <family val="2"/>
    </font>
    <font>
      <sz val="24"/>
      <name val="Arial"/>
      <family val="2"/>
    </font>
    <font>
      <sz val="8"/>
      <name val="Comic Sans MS"/>
      <family val="4"/>
    </font>
    <font>
      <sz val="8"/>
      <name val="Arial"/>
      <family val="2"/>
    </font>
    <font>
      <i/>
      <sz val="8"/>
      <name val="Comic Sans MS"/>
      <family val="4"/>
    </font>
    <font>
      <b/>
      <sz val="11"/>
      <color theme="0"/>
      <name val="Calibri"/>
      <family val="2"/>
      <scheme val="minor"/>
    </font>
    <font>
      <sz val="18"/>
      <name val="Arial"/>
      <family val="2"/>
    </font>
    <font>
      <i/>
      <sz val="11"/>
      <name val="Comic Sans MS"/>
      <family val="4"/>
    </font>
    <font>
      <sz val="11"/>
      <name val="Comic Sans MS"/>
      <family val="4"/>
    </font>
    <font>
      <b/>
      <sz val="12"/>
      <color theme="1"/>
      <name val="Comic Sans MS"/>
      <family val="4"/>
    </font>
    <font>
      <i/>
      <sz val="12"/>
      <name val="Comic Sans MS"/>
      <family val="4"/>
    </font>
    <font>
      <i/>
      <sz val="12"/>
      <color indexed="8"/>
      <name val="Comic Sans MS"/>
      <family val="4"/>
    </font>
    <font>
      <b/>
      <i/>
      <sz val="12"/>
      <color indexed="8"/>
      <name val="Comic Sans MS"/>
      <family val="4"/>
    </font>
    <font>
      <sz val="12"/>
      <name val="Comic Sans MS"/>
      <family val="4"/>
    </font>
    <font>
      <sz val="12"/>
      <color theme="1"/>
      <name val="Comic Sans MS"/>
      <family val="4"/>
    </font>
    <font>
      <b/>
      <sz val="12"/>
      <name val="Comic Sans MS"/>
      <family val="4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Comic Sans MS"/>
      <family val="4"/>
    </font>
    <font>
      <b/>
      <sz val="36"/>
      <name val="Arial"/>
      <family val="2"/>
    </font>
    <font>
      <sz val="9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36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0"/>
      <name val="Arial"/>
    </font>
    <font>
      <b/>
      <sz val="11"/>
      <color theme="1"/>
      <name val="Comic Sans MS"/>
    </font>
    <font>
      <i/>
      <sz val="11"/>
      <color theme="1"/>
      <name val="Comic Sans MS"/>
    </font>
    <font>
      <sz val="11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A9D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theme="0" tint="-0.14999847407452621"/>
      </left>
      <right/>
      <top/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medium">
        <color indexed="64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theme="9"/>
      </left>
      <right style="thin">
        <color theme="9"/>
      </right>
      <top style="medium">
        <color indexed="64"/>
      </top>
      <bottom style="medium">
        <color theme="9"/>
      </bottom>
      <diagonal/>
    </border>
    <border>
      <left style="thin">
        <color theme="9"/>
      </left>
      <right style="medium">
        <color indexed="64"/>
      </right>
      <top style="medium">
        <color indexed="64"/>
      </top>
      <bottom style="medium">
        <color theme="9"/>
      </bottom>
      <diagonal/>
    </border>
    <border>
      <left style="medium">
        <color indexed="64"/>
      </left>
      <right style="thin">
        <color theme="0" tint="-0.14999847407452621"/>
      </right>
      <top/>
      <bottom/>
      <diagonal/>
    </border>
    <border>
      <left style="medium">
        <color indexed="64"/>
      </left>
      <right style="thin">
        <color theme="9"/>
      </right>
      <top style="medium">
        <color indexed="64"/>
      </top>
      <bottom style="medium">
        <color theme="9"/>
      </bottom>
      <diagonal/>
    </border>
    <border>
      <left/>
      <right/>
      <top style="thin">
        <color theme="4" tint="0.39997558519241921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>
      <alignment vertical="top"/>
      <protection locked="0"/>
    </xf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5">
    <xf numFmtId="0" fontId="0" fillId="0" borderId="0" xfId="0"/>
    <xf numFmtId="0" fontId="3" fillId="3" borderId="0" xfId="4" applyFont="1" applyFill="1"/>
    <xf numFmtId="0" fontId="3" fillId="4" borderId="0" xfId="4" applyFont="1" applyFill="1"/>
    <xf numFmtId="0" fontId="10" fillId="3" borderId="0" xfId="4" applyFont="1" applyFill="1"/>
    <xf numFmtId="166" fontId="6" fillId="0" borderId="0" xfId="6" applyNumberFormat="1" applyFont="1" applyBorder="1" applyAlignment="1">
      <alignment horizontal="center" vertical="center" wrapText="1"/>
    </xf>
    <xf numFmtId="0" fontId="9" fillId="3" borderId="0" xfId="4" applyFont="1" applyFill="1" applyBorder="1"/>
    <xf numFmtId="0" fontId="9" fillId="0" borderId="0" xfId="0" applyFont="1" applyFill="1" applyBorder="1"/>
    <xf numFmtId="0" fontId="3" fillId="3" borderId="0" xfId="4" applyFont="1" applyFill="1" applyBorder="1"/>
    <xf numFmtId="0" fontId="3" fillId="4" borderId="0" xfId="4" applyFont="1" applyFill="1" applyBorder="1"/>
    <xf numFmtId="0" fontId="3" fillId="3" borderId="1" xfId="4" applyFont="1" applyFill="1" applyBorder="1"/>
    <xf numFmtId="0" fontId="5" fillId="4" borderId="0" xfId="4" applyFont="1" applyFill="1" applyBorder="1"/>
    <xf numFmtId="0" fontId="3" fillId="3" borderId="3" xfId="4" applyFont="1" applyFill="1" applyBorder="1"/>
    <xf numFmtId="0" fontId="3" fillId="3" borderId="2" xfId="4" applyFont="1" applyFill="1" applyBorder="1"/>
    <xf numFmtId="0" fontId="9" fillId="3" borderId="3" xfId="4" applyFont="1" applyFill="1" applyBorder="1"/>
    <xf numFmtId="0" fontId="6" fillId="4" borderId="0" xfId="4" applyFont="1" applyFill="1" applyBorder="1"/>
    <xf numFmtId="0" fontId="7" fillId="4" borderId="0" xfId="4" applyFont="1" applyFill="1" applyBorder="1"/>
    <xf numFmtId="0" fontId="7" fillId="4" borderId="0" xfId="5" applyFont="1" applyFill="1" applyBorder="1" applyAlignment="1" applyProtection="1"/>
    <xf numFmtId="0" fontId="10" fillId="0" borderId="0" xfId="4" applyFont="1" applyBorder="1" applyAlignment="1">
      <alignment horizontal="left"/>
    </xf>
    <xf numFmtId="0" fontId="3" fillId="3" borderId="4" xfId="4" applyFont="1" applyFill="1" applyBorder="1"/>
    <xf numFmtId="166" fontId="6" fillId="0" borderId="1" xfId="6" applyNumberFormat="1" applyFont="1" applyBorder="1" applyAlignment="1">
      <alignment horizontal="center" vertical="center" wrapText="1"/>
    </xf>
    <xf numFmtId="0" fontId="3" fillId="3" borderId="0" xfId="4" applyFont="1" applyFill="1" applyBorder="1" applyAlignment="1">
      <alignment horizontal="center"/>
    </xf>
    <xf numFmtId="0" fontId="3" fillId="3" borderId="5" xfId="4" applyFont="1" applyFill="1" applyBorder="1" applyAlignment="1">
      <alignment horizontal="center"/>
    </xf>
    <xf numFmtId="0" fontId="3" fillId="3" borderId="8" xfId="4" applyFont="1" applyFill="1" applyBorder="1" applyAlignment="1">
      <alignment horizontal="center"/>
    </xf>
    <xf numFmtId="0" fontId="3" fillId="3" borderId="3" xfId="4" applyFont="1" applyFill="1" applyBorder="1" applyAlignment="1">
      <alignment horizontal="center"/>
    </xf>
    <xf numFmtId="0" fontId="3" fillId="3" borderId="6" xfId="4" applyFont="1" applyFill="1" applyBorder="1" applyAlignment="1">
      <alignment horizontal="center"/>
    </xf>
    <xf numFmtId="0" fontId="15" fillId="7" borderId="13" xfId="4" applyFont="1" applyFill="1" applyBorder="1"/>
    <xf numFmtId="0" fontId="15" fillId="7" borderId="14" xfId="4" applyFont="1" applyFill="1" applyBorder="1"/>
    <xf numFmtId="0" fontId="3" fillId="4" borderId="1" xfId="4" applyFont="1" applyFill="1" applyBorder="1" applyAlignment="1">
      <alignment horizontal="center"/>
    </xf>
    <xf numFmtId="0" fontId="3" fillId="4" borderId="0" xfId="4" applyFont="1" applyFill="1" applyBorder="1" applyAlignment="1">
      <alignment horizontal="center"/>
    </xf>
    <xf numFmtId="0" fontId="16" fillId="3" borderId="0" xfId="4" applyFont="1" applyFill="1" applyAlignment="1"/>
    <xf numFmtId="0" fontId="9" fillId="3" borderId="5" xfId="4" applyFont="1" applyFill="1" applyBorder="1"/>
    <xf numFmtId="0" fontId="13" fillId="2" borderId="21" xfId="4" applyFont="1" applyFill="1" applyBorder="1"/>
    <xf numFmtId="0" fontId="13" fillId="2" borderId="22" xfId="4" applyFont="1" applyFill="1" applyBorder="1"/>
    <xf numFmtId="0" fontId="17" fillId="0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/>
    </xf>
    <xf numFmtId="0" fontId="0" fillId="0" borderId="0" xfId="0" applyFill="1"/>
    <xf numFmtId="0" fontId="17" fillId="3" borderId="0" xfId="0" applyFont="1" applyFill="1"/>
    <xf numFmtId="14" fontId="18" fillId="0" borderId="0" xfId="0" applyNumberFormat="1" applyFont="1" applyFill="1"/>
    <xf numFmtId="0" fontId="17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7" fillId="0" borderId="0" xfId="0" applyFont="1" applyFill="1" applyAlignment="1">
      <alignment horizontal="left"/>
    </xf>
    <xf numFmtId="0" fontId="19" fillId="3" borderId="10" xfId="4" applyFont="1" applyFill="1" applyBorder="1"/>
    <xf numFmtId="167" fontId="6" fillId="0" borderId="2" xfId="4" applyNumberFormat="1" applyFont="1" applyFill="1" applyBorder="1" applyAlignment="1">
      <alignment horizontal="left"/>
    </xf>
    <xf numFmtId="0" fontId="3" fillId="4" borderId="2" xfId="4" applyFont="1" applyFill="1" applyBorder="1"/>
    <xf numFmtId="0" fontId="10" fillId="3" borderId="2" xfId="4" applyFont="1" applyFill="1" applyBorder="1"/>
    <xf numFmtId="0" fontId="10" fillId="4" borderId="2" xfId="4" applyFont="1" applyFill="1" applyBorder="1"/>
    <xf numFmtId="0" fontId="3" fillId="3" borderId="8" xfId="4" applyFont="1" applyFill="1" applyBorder="1"/>
    <xf numFmtId="0" fontId="3" fillId="4" borderId="7" xfId="4" applyFont="1" applyFill="1" applyBorder="1"/>
    <xf numFmtId="0" fontId="4" fillId="4" borderId="1" xfId="4" applyFont="1" applyFill="1" applyBorder="1"/>
    <xf numFmtId="0" fontId="5" fillId="4" borderId="1" xfId="4" applyFont="1" applyFill="1" applyBorder="1"/>
    <xf numFmtId="0" fontId="10" fillId="6" borderId="2" xfId="4" applyFont="1" applyFill="1" applyBorder="1"/>
    <xf numFmtId="0" fontId="3" fillId="3" borderId="0" xfId="4" applyFont="1" applyFill="1" applyAlignment="1">
      <alignment horizontal="right"/>
    </xf>
    <xf numFmtId="164" fontId="10" fillId="9" borderId="14" xfId="4" applyNumberFormat="1" applyFont="1" applyFill="1" applyBorder="1" applyAlignment="1">
      <alignment horizontal="center"/>
    </xf>
    <xf numFmtId="0" fontId="0" fillId="10" borderId="30" xfId="0" applyFont="1" applyFill="1" applyBorder="1"/>
    <xf numFmtId="0" fontId="0" fillId="0" borderId="30" xfId="0" applyFont="1" applyBorder="1"/>
    <xf numFmtId="0" fontId="0" fillId="10" borderId="31" xfId="0" applyFont="1" applyFill="1" applyBorder="1"/>
    <xf numFmtId="0" fontId="0" fillId="0" borderId="31" xfId="0" applyFont="1" applyBorder="1"/>
    <xf numFmtId="0" fontId="20" fillId="11" borderId="0" xfId="0" applyFont="1" applyFill="1" applyBorder="1"/>
    <xf numFmtId="0" fontId="1" fillId="0" borderId="0" xfId="0" applyFont="1"/>
    <xf numFmtId="0" fontId="10" fillId="3" borderId="7" xfId="4" applyFont="1" applyFill="1" applyBorder="1"/>
    <xf numFmtId="0" fontId="3" fillId="3" borderId="7" xfId="4" applyFont="1" applyFill="1" applyBorder="1"/>
    <xf numFmtId="0" fontId="9" fillId="3" borderId="2" xfId="4" applyFont="1" applyFill="1" applyBorder="1"/>
    <xf numFmtId="0" fontId="3" fillId="4" borderId="0" xfId="4" applyFont="1" applyFill="1" applyBorder="1" applyAlignment="1">
      <alignment horizontal="left" vertical="center" wrapText="1"/>
    </xf>
    <xf numFmtId="0" fontId="23" fillId="3" borderId="0" xfId="4" applyFont="1" applyFill="1" applyBorder="1"/>
    <xf numFmtId="167" fontId="25" fillId="0" borderId="2" xfId="4" applyNumberFormat="1" applyFont="1" applyFill="1" applyBorder="1" applyAlignment="1">
      <alignment horizontal="left"/>
    </xf>
    <xf numFmtId="167" fontId="25" fillId="0" borderId="0" xfId="0" applyNumberFormat="1" applyFont="1" applyFill="1" applyBorder="1"/>
    <xf numFmtId="0" fontId="25" fillId="0" borderId="0" xfId="0" applyFont="1" applyFill="1" applyBorder="1" applyAlignment="1">
      <alignment horizontal="center"/>
    </xf>
    <xf numFmtId="166" fontId="25" fillId="0" borderId="0" xfId="2" applyNumberFormat="1" applyFont="1" applyFill="1" applyBorder="1" applyAlignment="1">
      <alignment horizontal="center" vertical="center" wrapText="1"/>
    </xf>
    <xf numFmtId="166" fontId="25" fillId="0" borderId="3" xfId="4" applyNumberFormat="1" applyFont="1" applyBorder="1" applyAlignment="1">
      <alignment horizontal="center"/>
    </xf>
    <xf numFmtId="0" fontId="26" fillId="0" borderId="0" xfId="4" applyFont="1" applyBorder="1"/>
    <xf numFmtId="0" fontId="26" fillId="0" borderId="3" xfId="4" applyFont="1" applyBorder="1"/>
    <xf numFmtId="0" fontId="27" fillId="0" borderId="2" xfId="4" applyFont="1" applyBorder="1"/>
    <xf numFmtId="0" fontId="27" fillId="0" borderId="0" xfId="4" applyFont="1" applyBorder="1"/>
    <xf numFmtId="0" fontId="28" fillId="3" borderId="0" xfId="4" applyFont="1" applyFill="1" applyBorder="1"/>
    <xf numFmtId="0" fontId="24" fillId="4" borderId="7" xfId="4" applyFont="1" applyFill="1" applyBorder="1" applyAlignment="1">
      <alignment horizontal="left" vertical="center" wrapText="1"/>
    </xf>
    <xf numFmtId="0" fontId="24" fillId="4" borderId="1" xfId="4" applyFont="1" applyFill="1" applyBorder="1" applyAlignment="1">
      <alignment horizontal="left" vertical="center" wrapText="1"/>
    </xf>
    <xf numFmtId="0" fontId="29" fillId="4" borderId="1" xfId="4" applyFont="1" applyFill="1" applyBorder="1" applyAlignment="1">
      <alignment horizontal="left" vertical="center" wrapText="1"/>
    </xf>
    <xf numFmtId="168" fontId="28" fillId="4" borderId="1" xfId="4" applyNumberFormat="1" applyFont="1" applyFill="1" applyBorder="1" applyAlignment="1">
      <alignment horizontal="right" vertical="center"/>
    </xf>
    <xf numFmtId="169" fontId="30" fillId="8" borderId="32" xfId="1" applyNumberFormat="1" applyFont="1" applyFill="1" applyBorder="1" applyAlignment="1">
      <alignment horizontal="right"/>
    </xf>
    <xf numFmtId="0" fontId="24" fillId="4" borderId="2" xfId="4" applyFont="1" applyFill="1" applyBorder="1" applyAlignment="1">
      <alignment horizontal="left" vertical="center" wrapText="1"/>
    </xf>
    <xf numFmtId="0" fontId="24" fillId="4" borderId="0" xfId="4" applyFont="1" applyFill="1" applyBorder="1" applyAlignment="1">
      <alignment horizontal="left" vertical="center" wrapText="1"/>
    </xf>
    <xf numFmtId="0" fontId="29" fillId="4" borderId="0" xfId="4" applyFont="1" applyFill="1" applyBorder="1" applyAlignment="1">
      <alignment horizontal="left" vertical="center" wrapText="1"/>
    </xf>
    <xf numFmtId="168" fontId="28" fillId="4" borderId="0" xfId="4" applyNumberFormat="1" applyFont="1" applyFill="1" applyBorder="1" applyAlignment="1">
      <alignment horizontal="right" vertical="center"/>
    </xf>
    <xf numFmtId="0" fontId="29" fillId="4" borderId="2" xfId="4" applyFont="1" applyFill="1" applyBorder="1" applyAlignment="1">
      <alignment horizontal="left" vertical="center" wrapText="1"/>
    </xf>
    <xf numFmtId="169" fontId="30" fillId="8" borderId="11" xfId="1" applyNumberFormat="1" applyFont="1" applyFill="1" applyBorder="1" applyAlignment="1">
      <alignment horizontal="right"/>
    </xf>
    <xf numFmtId="0" fontId="24" fillId="4" borderId="4" xfId="4" applyFont="1" applyFill="1" applyBorder="1" applyAlignment="1">
      <alignment horizontal="left" vertical="center" wrapText="1"/>
    </xf>
    <xf numFmtId="0" fontId="24" fillId="4" borderId="5" xfId="4" applyFont="1" applyFill="1" applyBorder="1" applyAlignment="1">
      <alignment horizontal="left" vertical="center" wrapText="1"/>
    </xf>
    <xf numFmtId="0" fontId="29" fillId="4" borderId="5" xfId="4" applyFont="1" applyFill="1" applyBorder="1" applyAlignment="1">
      <alignment horizontal="left" vertical="center" wrapText="1"/>
    </xf>
    <xf numFmtId="168" fontId="30" fillId="4" borderId="5" xfId="4" applyNumberFormat="1" applyFont="1" applyFill="1" applyBorder="1" applyAlignment="1">
      <alignment horizontal="right" vertical="center"/>
    </xf>
    <xf numFmtId="44" fontId="30" fillId="8" borderId="12" xfId="2" applyFont="1" applyFill="1" applyBorder="1" applyAlignment="1">
      <alignment horizontal="right"/>
    </xf>
    <xf numFmtId="0" fontId="31" fillId="3" borderId="0" xfId="4" applyFont="1" applyFill="1" applyBorder="1"/>
    <xf numFmtId="0" fontId="31" fillId="3" borderId="2" xfId="4" applyFont="1" applyFill="1" applyBorder="1"/>
    <xf numFmtId="0" fontId="32" fillId="6" borderId="35" xfId="4" applyFont="1" applyFill="1" applyBorder="1" applyAlignment="1">
      <alignment horizontal="center"/>
    </xf>
    <xf numFmtId="0" fontId="32" fillId="6" borderId="9" xfId="4" applyFont="1" applyFill="1" applyBorder="1" applyAlignment="1">
      <alignment horizontal="center"/>
    </xf>
    <xf numFmtId="0" fontId="32" fillId="6" borderId="16" xfId="4" applyFont="1" applyFill="1" applyBorder="1"/>
    <xf numFmtId="0" fontId="32" fillId="6" borderId="16" xfId="4" applyFont="1" applyFill="1" applyBorder="1" applyAlignment="1">
      <alignment horizontal="center"/>
    </xf>
    <xf numFmtId="0" fontId="32" fillId="6" borderId="17" xfId="4" applyFont="1" applyFill="1" applyBorder="1"/>
    <xf numFmtId="0" fontId="33" fillId="4" borderId="36" xfId="4" applyNumberFormat="1" applyFont="1" applyFill="1" applyBorder="1" applyAlignment="1">
      <alignment horizontal="center"/>
    </xf>
    <xf numFmtId="0" fontId="33" fillId="4" borderId="33" xfId="4" applyNumberFormat="1" applyFont="1" applyFill="1" applyBorder="1" applyAlignment="1">
      <alignment horizontal="center"/>
    </xf>
    <xf numFmtId="0" fontId="33" fillId="4" borderId="33" xfId="4" applyNumberFormat="1" applyFont="1" applyFill="1" applyBorder="1" applyAlignment="1"/>
    <xf numFmtId="0" fontId="33" fillId="4" borderId="34" xfId="4" applyNumberFormat="1" applyFont="1" applyFill="1" applyBorder="1" applyAlignment="1"/>
    <xf numFmtId="164" fontId="11" fillId="9" borderId="15" xfId="4" applyNumberFormat="1" applyFont="1" applyFill="1" applyBorder="1" applyAlignment="1">
      <alignment horizontal="left"/>
    </xf>
    <xf numFmtId="0" fontId="34" fillId="3" borderId="2" xfId="4" applyFont="1" applyFill="1" applyBorder="1" applyAlignment="1">
      <alignment horizontal="center"/>
    </xf>
    <xf numFmtId="0" fontId="26" fillId="0" borderId="2" xfId="4" applyFont="1" applyBorder="1" applyAlignment="1">
      <alignment horizontal="left"/>
    </xf>
    <xf numFmtId="0" fontId="26" fillId="0" borderId="0" xfId="4" applyFont="1" applyBorder="1" applyAlignment="1">
      <alignment horizontal="left"/>
    </xf>
    <xf numFmtId="0" fontId="3" fillId="3" borderId="0" xfId="4" applyFont="1" applyFill="1" applyBorder="1" applyAlignment="1">
      <alignment horizontal="left"/>
    </xf>
    <xf numFmtId="0" fontId="3" fillId="3" borderId="3" xfId="4" applyFont="1" applyFill="1" applyBorder="1" applyAlignment="1">
      <alignment horizontal="left"/>
    </xf>
    <xf numFmtId="9" fontId="30" fillId="8" borderId="11" xfId="3" applyFont="1" applyFill="1" applyBorder="1" applyAlignment="1">
      <alignment horizontal="right" indent="1"/>
    </xf>
    <xf numFmtId="0" fontId="20" fillId="0" borderId="0" xfId="0" applyFont="1" applyFill="1" applyBorder="1"/>
    <xf numFmtId="0" fontId="0" fillId="0" borderId="37" xfId="0" applyFont="1" applyFill="1" applyBorder="1"/>
    <xf numFmtId="14" fontId="0" fillId="0" borderId="37" xfId="0" applyNumberFormat="1" applyFont="1" applyFill="1" applyBorder="1"/>
    <xf numFmtId="164" fontId="3" fillId="4" borderId="0" xfId="4" applyNumberFormat="1" applyFont="1" applyFill="1" applyBorder="1"/>
    <xf numFmtId="0" fontId="14" fillId="3" borderId="0" xfId="4" applyFont="1" applyFill="1" applyBorder="1"/>
    <xf numFmtId="0" fontId="35" fillId="9" borderId="2" xfId="4" applyFont="1" applyFill="1" applyBorder="1"/>
    <xf numFmtId="0" fontId="35" fillId="9" borderId="36" xfId="4" applyNumberFormat="1" applyFont="1" applyFill="1" applyBorder="1" applyAlignment="1">
      <alignment horizontal="center"/>
    </xf>
    <xf numFmtId="0" fontId="35" fillId="9" borderId="33" xfId="4" applyNumberFormat="1" applyFont="1" applyFill="1" applyBorder="1" applyAlignment="1">
      <alignment horizontal="center"/>
    </xf>
    <xf numFmtId="0" fontId="35" fillId="9" borderId="33" xfId="4" applyNumberFormat="1" applyFont="1" applyFill="1" applyBorder="1" applyAlignment="1"/>
    <xf numFmtId="0" fontId="35" fillId="9" borderId="34" xfId="4" applyNumberFormat="1" applyFont="1" applyFill="1" applyBorder="1" applyAlignment="1"/>
    <xf numFmtId="0" fontId="36" fillId="0" borderId="0" xfId="0" applyFont="1"/>
    <xf numFmtId="0" fontId="0" fillId="14" borderId="0" xfId="0" applyFill="1"/>
    <xf numFmtId="0" fontId="4" fillId="4" borderId="2" xfId="4" applyFont="1" applyFill="1" applyBorder="1" applyAlignment="1">
      <alignment horizontal="left" indent="3"/>
    </xf>
    <xf numFmtId="0" fontId="6" fillId="4" borderId="2" xfId="4" applyFont="1" applyFill="1" applyBorder="1" applyAlignment="1">
      <alignment horizontal="left" indent="3"/>
    </xf>
    <xf numFmtId="0" fontId="23" fillId="4" borderId="2" xfId="4" applyFont="1" applyFill="1" applyBorder="1" applyAlignment="1">
      <alignment horizontal="left" indent="3"/>
    </xf>
    <xf numFmtId="0" fontId="23" fillId="4" borderId="2" xfId="5" applyFont="1" applyFill="1" applyBorder="1" applyAlignment="1" applyProtection="1">
      <alignment horizontal="left" indent="3"/>
    </xf>
    <xf numFmtId="0" fontId="23" fillId="3" borderId="2" xfId="4" applyFont="1" applyFill="1" applyBorder="1" applyAlignment="1">
      <alignment horizontal="left" indent="3"/>
    </xf>
    <xf numFmtId="169" fontId="3" fillId="3" borderId="0" xfId="4" applyNumberFormat="1" applyFont="1" applyFill="1" applyBorder="1"/>
    <xf numFmtId="0" fontId="36" fillId="14" borderId="0" xfId="0" applyFont="1" applyFill="1"/>
    <xf numFmtId="14" fontId="40" fillId="3" borderId="23" xfId="4" applyNumberFormat="1" applyFont="1" applyFill="1" applyBorder="1" applyAlignment="1">
      <alignment horizontal="center"/>
    </xf>
    <xf numFmtId="0" fontId="38" fillId="16" borderId="0" xfId="0" applyFont="1" applyFill="1"/>
    <xf numFmtId="0" fontId="0" fillId="9" borderId="23" xfId="0" applyFill="1" applyBorder="1"/>
    <xf numFmtId="0" fontId="15" fillId="7" borderId="15" xfId="4" applyFont="1" applyFill="1" applyBorder="1"/>
    <xf numFmtId="0" fontId="12" fillId="3" borderId="0" xfId="4" applyFont="1" applyFill="1" applyBorder="1"/>
    <xf numFmtId="0" fontId="21" fillId="4" borderId="23" xfId="4" applyFont="1" applyFill="1" applyBorder="1" applyAlignment="1">
      <alignment horizontal="center"/>
    </xf>
    <xf numFmtId="0" fontId="3" fillId="15" borderId="7" xfId="4" applyFont="1" applyFill="1" applyBorder="1" applyAlignment="1" applyProtection="1">
      <alignment horizontal="center"/>
      <protection locked="0"/>
    </xf>
    <xf numFmtId="166" fontId="6" fillId="15" borderId="8" xfId="6" applyNumberFormat="1" applyFont="1" applyFill="1" applyBorder="1" applyAlignment="1" applyProtection="1">
      <alignment horizontal="center" vertical="center" wrapText="1"/>
      <protection locked="0"/>
    </xf>
    <xf numFmtId="0" fontId="3" fillId="15" borderId="19" xfId="4" applyFont="1" applyFill="1" applyBorder="1" applyAlignment="1" applyProtection="1">
      <alignment horizontal="center"/>
      <protection locked="0"/>
    </xf>
    <xf numFmtId="0" fontId="9" fillId="15" borderId="18" xfId="4" applyFont="1" applyFill="1" applyBorder="1" applyProtection="1">
      <protection locked="0"/>
    </xf>
    <xf numFmtId="166" fontId="6" fillId="15" borderId="20" xfId="6" applyNumberFormat="1" applyFont="1" applyFill="1" applyBorder="1" applyAlignment="1" applyProtection="1">
      <alignment horizontal="center" vertical="center" wrapText="1"/>
      <protection locked="0"/>
    </xf>
    <xf numFmtId="0" fontId="3" fillId="15" borderId="4" xfId="4" applyFont="1" applyFill="1" applyBorder="1" applyProtection="1">
      <protection locked="0"/>
    </xf>
    <xf numFmtId="0" fontId="9" fillId="15" borderId="5" xfId="4" applyFont="1" applyFill="1" applyBorder="1" applyProtection="1">
      <protection locked="0"/>
    </xf>
    <xf numFmtId="0" fontId="9" fillId="15" borderId="6" xfId="4" applyFont="1" applyFill="1" applyBorder="1" applyProtection="1">
      <protection locked="0"/>
    </xf>
    <xf numFmtId="0" fontId="16" fillId="13" borderId="0" xfId="4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7" xfId="4" applyFont="1" applyFill="1" applyBorder="1" applyAlignment="1" applyProtection="1">
      <alignment horizontal="center"/>
      <protection locked="0"/>
    </xf>
    <xf numFmtId="0" fontId="3" fillId="5" borderId="8" xfId="4" applyFont="1" applyFill="1" applyBorder="1" applyAlignment="1" applyProtection="1">
      <alignment horizontal="center"/>
      <protection locked="0"/>
    </xf>
    <xf numFmtId="0" fontId="26" fillId="0" borderId="2" xfId="4" applyFont="1" applyBorder="1" applyAlignment="1">
      <alignment horizontal="left"/>
    </xf>
    <xf numFmtId="0" fontId="26" fillId="0" borderId="0" xfId="4" applyFont="1" applyBorder="1" applyAlignment="1">
      <alignment horizontal="left"/>
    </xf>
    <xf numFmtId="0" fontId="26" fillId="0" borderId="3" xfId="4" applyFont="1" applyBorder="1" applyAlignment="1">
      <alignment horizontal="left"/>
    </xf>
    <xf numFmtId="0" fontId="10" fillId="3" borderId="0" xfId="4" applyFont="1" applyFill="1" applyBorder="1" applyAlignment="1">
      <alignment horizontal="left"/>
    </xf>
    <xf numFmtId="0" fontId="3" fillId="3" borderId="0" xfId="4" applyFont="1" applyFill="1" applyBorder="1" applyAlignment="1">
      <alignment horizontal="left"/>
    </xf>
    <xf numFmtId="0" fontId="23" fillId="0" borderId="26" xfId="0" applyFont="1" applyFill="1" applyBorder="1" applyAlignment="1">
      <alignment horizontal="left"/>
    </xf>
    <xf numFmtId="0" fontId="23" fillId="0" borderId="27" xfId="0" applyFont="1" applyFill="1" applyBorder="1" applyAlignment="1">
      <alignment horizontal="left"/>
    </xf>
    <xf numFmtId="14" fontId="22" fillId="3" borderId="24" xfId="4" applyNumberFormat="1" applyFont="1" applyFill="1" applyBorder="1" applyAlignment="1">
      <alignment horizontal="left"/>
    </xf>
    <xf numFmtId="14" fontId="22" fillId="3" borderId="25" xfId="4" applyNumberFormat="1" applyFont="1" applyFill="1" applyBorder="1" applyAlignment="1">
      <alignment horizontal="left"/>
    </xf>
    <xf numFmtId="0" fontId="9" fillId="0" borderId="26" xfId="0" applyFont="1" applyFill="1" applyBorder="1" applyAlignment="1">
      <alignment horizontal="left"/>
    </xf>
    <xf numFmtId="0" fontId="9" fillId="0" borderId="27" xfId="0" applyFont="1" applyFill="1" applyBorder="1" applyAlignment="1">
      <alignment horizontal="left"/>
    </xf>
    <xf numFmtId="0" fontId="9" fillId="0" borderId="28" xfId="0" applyFont="1" applyFill="1" applyBorder="1" applyAlignment="1">
      <alignment horizontal="left"/>
    </xf>
    <xf numFmtId="0" fontId="9" fillId="0" borderId="29" xfId="0" applyFont="1" applyFill="1" applyBorder="1" applyAlignment="1">
      <alignment horizontal="left"/>
    </xf>
    <xf numFmtId="0" fontId="41" fillId="12" borderId="0" xfId="4" applyFont="1" applyFill="1"/>
    <xf numFmtId="0" fontId="42" fillId="12" borderId="2" xfId="4" applyNumberFormat="1" applyFont="1" applyFill="1" applyBorder="1" applyAlignment="1">
      <alignment horizontal="left" indent="4"/>
    </xf>
    <xf numFmtId="0" fontId="42" fillId="12" borderId="0" xfId="4" applyNumberFormat="1" applyFont="1" applyFill="1" applyBorder="1" applyAlignment="1">
      <alignment horizontal="center"/>
    </xf>
    <xf numFmtId="0" fontId="43" fillId="12" borderId="0" xfId="4" applyFont="1" applyFill="1" applyAlignment="1">
      <alignment horizontal="center"/>
    </xf>
    <xf numFmtId="169" fontId="42" fillId="12" borderId="0" xfId="4" applyNumberFormat="1" applyFont="1" applyFill="1" applyBorder="1" applyAlignment="1">
      <alignment horizontal="center"/>
    </xf>
    <xf numFmtId="169" fontId="42" fillId="12" borderId="3" xfId="4" applyNumberFormat="1" applyFont="1" applyFill="1" applyBorder="1" applyAlignment="1"/>
    <xf numFmtId="0" fontId="41" fillId="0" borderId="0" xfId="4" applyFont="1" applyFill="1"/>
    <xf numFmtId="0" fontId="42" fillId="0" borderId="2" xfId="4" applyNumberFormat="1" applyFont="1" applyFill="1" applyBorder="1" applyAlignment="1">
      <alignment horizontal="left" indent="4"/>
    </xf>
    <xf numFmtId="0" fontId="42" fillId="0" borderId="0" xfId="4" applyNumberFormat="1" applyFont="1" applyFill="1" applyBorder="1" applyAlignment="1">
      <alignment horizontal="center"/>
    </xf>
    <xf numFmtId="0" fontId="43" fillId="0" borderId="0" xfId="4" applyFont="1" applyFill="1" applyAlignment="1">
      <alignment horizontal="center"/>
    </xf>
    <xf numFmtId="169" fontId="42" fillId="0" borderId="0" xfId="4" applyNumberFormat="1" applyFont="1" applyFill="1" applyBorder="1" applyAlignment="1">
      <alignment horizontal="center"/>
    </xf>
    <xf numFmtId="169" fontId="42" fillId="0" borderId="3" xfId="4" applyNumberFormat="1" applyFont="1" applyFill="1" applyBorder="1" applyAlignment="1"/>
    <xf numFmtId="0" fontId="44" fillId="0" borderId="37" xfId="0" applyFont="1" applyFill="1" applyBorder="1"/>
    <xf numFmtId="14" fontId="44" fillId="0" borderId="37" xfId="0" applyNumberFormat="1" applyFont="1" applyFill="1" applyBorder="1"/>
  </cellXfs>
  <cellStyles count="8">
    <cellStyle name="Hipervínculo 2" xfId="5"/>
    <cellStyle name="Millares" xfId="1" builtinId="3"/>
    <cellStyle name="Moneda" xfId="2" builtinId="4"/>
    <cellStyle name="Moneda 2" xfId="6"/>
    <cellStyle name="Normal" xfId="0" builtinId="0"/>
    <cellStyle name="Normal 2" xfId="4"/>
    <cellStyle name="Porcentaje" xfId="3" builtinId="5"/>
    <cellStyle name="Porcentual 2" xfId="7"/>
  </cellStyles>
  <dxfs count="43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A9D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169" formatCode="_-* #,##0.00\ [$€-C0A]_-;\-* #,##0.00\ [$€-C0A]_-;_-* &quot;-&quot;??\ [$€-C0A]_-;_-@_-"/>
      <fill>
        <patternFill patternType="solid">
          <fgColor indexed="64"/>
          <bgColor rgb="FFA9D000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numFmt numFmtId="169" formatCode="_-* #,##0.00\ [$€-C0A]_-;\-* #,##0.00\ [$€-C0A]_-;_-* &quot;-&quot;??\ [$€-C0A]_-;_-@_-"/>
      <fill>
        <patternFill patternType="solid">
          <fgColor indexed="64"/>
          <bgColor rgb="FFA9D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omic Sans MS"/>
        <scheme val="none"/>
      </font>
      <fill>
        <patternFill patternType="solid">
          <fgColor indexed="64"/>
          <bgColor rgb="FFA9D000"/>
        </patternFill>
      </fill>
      <alignment horizontal="left" vertical="bottom" textRotation="0" wrapText="0" indent="4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A9D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gency FB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border>
        <left style="medium">
          <color auto="1"/>
        </left>
        <right style="medium">
          <color auto="1"/>
        </right>
      </border>
    </dxf>
    <dxf>
      <border>
        <left style="medium">
          <color auto="1"/>
        </left>
        <right style="medium">
          <color auto="1"/>
        </right>
      </border>
    </dxf>
  </dxfs>
  <tableStyles count="1" defaultTableStyle="TableStyleMedium2" defaultPivotStyle="PivotStyleLight16">
    <tableStyle name="Estilo de tabla 1" pivot="0" count="3">
      <tableStyleElement type="firstRowStripe" dxfId="42"/>
      <tableStyleElement type="secondRowStripe" dxfId="41"/>
      <tableStyleElement type="firstColumnStripe" dxfId="40"/>
    </tableStyle>
  </tableStyles>
  <colors>
    <mruColors>
      <color rgb="FFA9D08E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36741</xdr:colOff>
      <xdr:row>1</xdr:row>
      <xdr:rowOff>149678</xdr:rowOff>
    </xdr:from>
    <xdr:to>
      <xdr:col>11</xdr:col>
      <xdr:colOff>326572</xdr:colOff>
      <xdr:row>2</xdr:row>
      <xdr:rowOff>315232</xdr:rowOff>
    </xdr:to>
    <xdr:sp macro="[0]!Flechaderecha2_Haga_clic_en" textlink="">
      <xdr:nvSpPr>
        <xdr:cNvPr id="3" name="Flecha derecha 2"/>
        <xdr:cNvSpPr/>
      </xdr:nvSpPr>
      <xdr:spPr>
        <a:xfrm>
          <a:off x="14514741" y="312964"/>
          <a:ext cx="289831" cy="32883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104170</xdr:colOff>
      <xdr:row>2</xdr:row>
      <xdr:rowOff>42938</xdr:rowOff>
    </xdr:from>
    <xdr:to>
      <xdr:col>9</xdr:col>
      <xdr:colOff>394154</xdr:colOff>
      <xdr:row>2</xdr:row>
      <xdr:rowOff>328688</xdr:rowOff>
    </xdr:to>
    <xdr:sp macro="[0]!Flechaderecha3_Haga_clic_en" textlink="">
      <xdr:nvSpPr>
        <xdr:cNvPr id="4" name="Flecha derecha 3"/>
        <xdr:cNvSpPr/>
      </xdr:nvSpPr>
      <xdr:spPr>
        <a:xfrm flipH="1">
          <a:off x="11296045" y="371777"/>
          <a:ext cx="289984" cy="2857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184740</xdr:colOff>
      <xdr:row>3</xdr:row>
      <xdr:rowOff>241156</xdr:rowOff>
    </xdr:from>
    <xdr:to>
      <xdr:col>10</xdr:col>
      <xdr:colOff>974543</xdr:colOff>
      <xdr:row>5</xdr:row>
      <xdr:rowOff>213337</xdr:rowOff>
    </xdr:to>
    <xdr:sp macro="[0]!Hoja7.grabafactura" textlink="">
      <xdr:nvSpPr>
        <xdr:cNvPr id="5" name="GRABAR" hidden="1"/>
        <xdr:cNvSpPr/>
      </xdr:nvSpPr>
      <xdr:spPr>
        <a:xfrm>
          <a:off x="12433671" y="946225"/>
          <a:ext cx="1499251" cy="43638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chemeClr val="tx1"/>
              </a:solidFill>
            </a:rPr>
            <a:t>Graba Factura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1268060</xdr:colOff>
      <xdr:row>3</xdr:row>
      <xdr:rowOff>242362</xdr:rowOff>
    </xdr:from>
    <xdr:to>
      <xdr:col>13</xdr:col>
      <xdr:colOff>582385</xdr:colOff>
      <xdr:row>5</xdr:row>
      <xdr:rowOff>226994</xdr:rowOff>
    </xdr:to>
    <xdr:sp macro="[0]!clear_table" textlink="">
      <xdr:nvSpPr>
        <xdr:cNvPr id="6" name="ENBLANCO"/>
        <xdr:cNvSpPr/>
      </xdr:nvSpPr>
      <xdr:spPr>
        <a:xfrm>
          <a:off x="13555310" y="947212"/>
          <a:ext cx="1530475" cy="44818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ysClr val="windowText" lastClr="000000"/>
              </a:solidFill>
            </a:rPr>
            <a:t>Factura en Blanco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165652</xdr:colOff>
      <xdr:row>3</xdr:row>
      <xdr:rowOff>236356</xdr:rowOff>
    </xdr:from>
    <xdr:to>
      <xdr:col>10</xdr:col>
      <xdr:colOff>976028</xdr:colOff>
      <xdr:row>5</xdr:row>
      <xdr:rowOff>208537</xdr:rowOff>
    </xdr:to>
    <xdr:sp macro="[0]!Hoja7.ModificarFactura" textlink="">
      <xdr:nvSpPr>
        <xdr:cNvPr id="8" name="MODIFICAR"/>
        <xdr:cNvSpPr/>
      </xdr:nvSpPr>
      <xdr:spPr>
        <a:xfrm>
          <a:off x="11749866" y="943927"/>
          <a:ext cx="1527019" cy="43482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 baseline="0">
              <a:solidFill>
                <a:schemeClr val="tx1"/>
              </a:solidFill>
            </a:rPr>
            <a:t>Modifica Factura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787400</xdr:colOff>
          <xdr:row>0</xdr:row>
          <xdr:rowOff>0</xdr:rowOff>
        </xdr:from>
        <xdr:to>
          <xdr:col>15</xdr:col>
          <xdr:colOff>800100</xdr:colOff>
          <xdr:row>3</xdr:row>
          <xdr:rowOff>241300</xdr:rowOff>
        </xdr:to>
        <xdr:sp macro="" textlink="">
          <xdr:nvSpPr>
            <xdr:cNvPr id="1031" name="CheckBox1" descr="Modificar factura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1</xdr:row>
      <xdr:rowOff>57150</xdr:rowOff>
    </xdr:from>
    <xdr:to>
      <xdr:col>13</xdr:col>
      <xdr:colOff>12700</xdr:colOff>
      <xdr:row>4</xdr:row>
      <xdr:rowOff>76200</xdr:rowOff>
    </xdr:to>
    <xdr:sp macro="[0]!Hoja8.clientes" textlink="">
      <xdr:nvSpPr>
        <xdr:cNvPr id="2" name="Elipse 1" hidden="1"/>
        <xdr:cNvSpPr/>
      </xdr:nvSpPr>
      <xdr:spPr>
        <a:xfrm>
          <a:off x="14541500" y="247650"/>
          <a:ext cx="622300" cy="590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ez Nunez, Juan Manuel" refreshedDate="43999.565983217595" createdVersion="6" refreshedVersion="6" minRefreshableVersion="3" recordCount="1">
  <cacheSource type="worksheet">
    <worksheetSource ref="A1:G1048576" sheet="DB_CONCEPTOS"/>
  </cacheSource>
  <cacheFields count="7">
    <cacheField name="Factura" numFmtId="0">
      <sharedItems containsNonDate="0" containsString="0" containsBlank="1"/>
    </cacheField>
    <cacheField name="comida" numFmtId="0">
      <sharedItems containsNonDate="0" containsString="0" containsBlank="1"/>
    </cacheField>
    <cacheField name="concepto" numFmtId="0">
      <sharedItems containsNonDate="0" containsBlank="1" count="20">
        <m/>
        <s v="Pato a la naranja" u="1"/>
        <s v="Aperitivo" u="1"/>
        <s v="BODEGÓN DE JAMÓN DE JABUGO CON PICOS CAMPEROS " u="1"/>
        <s v="Planto 1" u="1"/>
        <s v="Cena " u="1"/>
        <s v="MINI TARTAR DE SALMÓN MARINADO CON MOUSSELINA DE AGUACATE " u="1"/>
        <s v="CAZUELA DE HUEVOS ROTOS CON JAMON" u="1"/>
        <s v="Planto 5" u="1"/>
        <s v="BoDEGON DE QUESOS" u="1"/>
        <s v="Recena" u="1"/>
        <s v="Sandwich Queso-Anchoa" u="1"/>
        <s v="nuevo" u="1"/>
        <s v="Plato combinado" u="1"/>
        <s v="Planto 3" u="1"/>
        <s v="TORTILLA ESPAÑOLA DE PATATAS EN DADOS" u="1"/>
        <s v="Pan" u="1"/>
        <s v="Planto 2" u="1"/>
        <s v="Planto 7" u="1"/>
        <s v="BANDEJA DE FRUTAS DE TEMPORADA PREPARADAS" u="1"/>
      </sharedItems>
    </cacheField>
    <cacheField name="referencia" numFmtId="0">
      <sharedItems containsNonDate="0" containsString="0" containsBlank="1"/>
    </cacheField>
    <cacheField name="items" numFmtId="0">
      <sharedItems containsNonDate="0" containsString="0" containsBlank="1"/>
    </cacheField>
    <cacheField name="precio" numFmtId="0">
      <sharedItems containsNonDate="0" containsString="0" containsBlank="1"/>
    </cacheField>
    <cacheField name="tota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9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0" firstDataRow="1" firstDataCol="1"/>
  <pivotFields count="7">
    <pivotField showAll="0"/>
    <pivotField showAll="0"/>
    <pivotField axis="axisRow" showAll="0" sortType="ascending">
      <items count="21">
        <item m="1" x="2"/>
        <item m="1" x="19"/>
        <item m="1" x="3"/>
        <item m="1" x="9"/>
        <item m="1" x="7"/>
        <item m="1" x="5"/>
        <item m="1" x="6"/>
        <item m="1" x="12"/>
        <item m="1" x="16"/>
        <item m="1" x="1"/>
        <item m="1" x="4"/>
        <item m="1" x="17"/>
        <item m="1" x="14"/>
        <item m="1" x="8"/>
        <item m="1" x="18"/>
        <item m="1" x="13"/>
        <item m="1" x="10"/>
        <item m="1" x="11"/>
        <item m="1" x="15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dataField="1" showAll="0"/>
  </pivotFields>
  <rowFields count="1">
    <field x="2"/>
  </rowFields>
  <rowItems count="2"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tems" fld="4" baseField="2" baseItem="3"/>
    <dataField name="Suma de total" fld="6" baseField="2" baseItem="1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la4" displayName="Tabla4" ref="J8:L58" totalsRowShown="0" headerRowDxfId="39" dataDxfId="37" headerRowBorderDxfId="38" tableBorderDxfId="36" headerRowCellStyle="Normal 2" dataCellStyle="Normal 2">
  <autoFilter ref="J8:L58"/>
  <sortState ref="J9:L65">
    <sortCondition ref="J7:J64"/>
  </sortState>
  <tableColumns count="3">
    <tableColumn id="1" name="REF." dataDxfId="35" dataCellStyle="Normal 2"/>
    <tableColumn id="2" name="PRODUCTO" dataDxfId="34" dataCellStyle="Normal 2"/>
    <tableColumn id="3" name="PRECIO" dataDxfId="33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Tabla_Conceptos" displayName="Tabla_Conceptos" ref="B31:G40" totalsRowShown="0" dataDxfId="3" tableBorderDxfId="32">
  <autoFilter ref="B31:G40"/>
  <tableColumns count="6">
    <tableColumn id="1" name="ref" dataDxfId="9" dataCellStyle="Normal 2"/>
    <tableColumn id="2" name="Concepto" dataDxfId="8"/>
    <tableColumn id="3" name="Referencia" dataDxfId="7"/>
    <tableColumn id="4" name="UND" dataDxfId="6" dataCellStyle="Normal 2"/>
    <tableColumn id="5" name="P.V.P" dataDxfId="5"/>
    <tableColumn id="6" name="TOTAL IMPORT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la_Comidas" displayName="Tabla_Comidas" ref="B3:C12" totalsRowShown="0" headerRowDxfId="31" tableBorderDxfId="30">
  <autoFilter ref="B3:C12"/>
  <tableColumns count="2">
    <tableColumn id="1" name="COMIDAS" dataDxfId="29"/>
    <tableColumn id="2" name="REF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CLIENTES" displayName="Tabla_CLIENTES" ref="A1:H59" totalsRowShown="0" headerRowDxfId="27" dataDxfId="26">
  <autoFilter ref="A1:H59"/>
  <sortState ref="A2:H59">
    <sortCondition ref="A1:A59"/>
  </sortState>
  <tableColumns count="8">
    <tableColumn id="1" name="NOMBRE" dataDxfId="25"/>
    <tableColumn id="2" name="Dirección" dataDxfId="24"/>
    <tableColumn id="3" name="POBLACION" dataDxfId="23"/>
    <tableColumn id="4" name="PROVINCIA" dataDxfId="22"/>
    <tableColumn id="5" name="CP" dataDxfId="21"/>
    <tableColumn id="6" name="Columna6" dataDxfId="20"/>
    <tableColumn id="7" name="Columna7" dataDxfId="19"/>
    <tableColumn id="8" name="CIF" dataDxfId="18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2" name="Tabla_DB_Facturas" displayName="Tabla_DB_Facturas" ref="A1:D3" totalsRowShown="0" headerRowDxfId="17" dataDxfId="16" tableBorderDxfId="15">
  <autoFilter ref="A1:D3"/>
  <tableColumns count="4">
    <tableColumn id="1" name="numero" dataDxfId="14"/>
    <tableColumn id="2" name="cliente" dataDxfId="13"/>
    <tableColumn id="3" name="fecha" dataDxfId="12"/>
    <tableColumn id="4" name="envío" dataDxf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abla_BD_Conceptos" displayName="Tabla_BD_Conceptos" ref="A1:G13" insertRowShift="1" totalsRowShown="0" headerRowDxfId="10" headerRowCellStyle="Normal 2">
  <autoFilter ref="A1:G13"/>
  <sortState ref="A2:F6">
    <sortCondition ref="E1:E6"/>
  </sortState>
  <tableColumns count="7">
    <tableColumn id="1" name="Factura"/>
    <tableColumn id="2" name="comida"/>
    <tableColumn id="3" name="concepto"/>
    <tableColumn id="4" name="referencia"/>
    <tableColumn id="5" name="items"/>
    <tableColumn id="6" name="precio"/>
    <tableColumn id="7" name="tot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atering@restaurantesjumar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249977111117893"/>
  </sheetPr>
  <dimension ref="A1:I39"/>
  <sheetViews>
    <sheetView showGridLines="0" topLeftCell="A20" workbookViewId="0">
      <selection activeCell="J27" sqref="J27"/>
    </sheetView>
  </sheetViews>
  <sheetFormatPr baseColWidth="10" defaultRowHeight="14.5" x14ac:dyDescent="0.35"/>
  <sheetData>
    <row r="1" spans="1:9" x14ac:dyDescent="0.35">
      <c r="A1" s="127" t="s">
        <v>312</v>
      </c>
      <c r="B1" s="120"/>
      <c r="C1" s="120"/>
      <c r="D1" s="120"/>
      <c r="E1" s="120"/>
      <c r="F1" s="120"/>
      <c r="G1" s="120"/>
    </row>
    <row r="2" spans="1:9" x14ac:dyDescent="0.35">
      <c r="A2" s="36" t="s">
        <v>313</v>
      </c>
      <c r="B2" s="36"/>
      <c r="C2" s="36"/>
      <c r="D2" s="36"/>
      <c r="E2" s="36"/>
      <c r="F2" s="36"/>
      <c r="G2" s="36"/>
      <c r="H2" s="36"/>
      <c r="I2" s="36"/>
    </row>
    <row r="3" spans="1:9" x14ac:dyDescent="0.35">
      <c r="A3" s="59" t="s">
        <v>307</v>
      </c>
      <c r="B3" t="s">
        <v>329</v>
      </c>
    </row>
    <row r="4" spans="1:9" x14ac:dyDescent="0.35">
      <c r="B4" t="s">
        <v>308</v>
      </c>
    </row>
    <row r="5" spans="1:9" x14ac:dyDescent="0.35">
      <c r="B5" t="s">
        <v>309</v>
      </c>
    </row>
    <row r="6" spans="1:9" x14ac:dyDescent="0.35">
      <c r="A6" t="s">
        <v>323</v>
      </c>
    </row>
    <row r="7" spans="1:9" x14ac:dyDescent="0.35">
      <c r="A7" s="59" t="s">
        <v>307</v>
      </c>
      <c r="B7" t="s">
        <v>362</v>
      </c>
    </row>
    <row r="8" spans="1:9" x14ac:dyDescent="0.35">
      <c r="A8" t="s">
        <v>324</v>
      </c>
    </row>
    <row r="10" spans="1:9" x14ac:dyDescent="0.35">
      <c r="A10" t="s">
        <v>310</v>
      </c>
    </row>
    <row r="12" spans="1:9" x14ac:dyDescent="0.35">
      <c r="A12" s="127" t="s">
        <v>311</v>
      </c>
      <c r="B12" s="120"/>
      <c r="C12" s="120"/>
      <c r="D12" s="120"/>
      <c r="E12" s="120"/>
      <c r="F12" s="120"/>
      <c r="G12" s="120"/>
    </row>
    <row r="13" spans="1:9" x14ac:dyDescent="0.35">
      <c r="A13" s="119"/>
    </row>
    <row r="14" spans="1:9" x14ac:dyDescent="0.35">
      <c r="A14" t="s">
        <v>322</v>
      </c>
    </row>
    <row r="15" spans="1:9" x14ac:dyDescent="0.35">
      <c r="A15" t="s">
        <v>330</v>
      </c>
    </row>
    <row r="16" spans="1:9" x14ac:dyDescent="0.35">
      <c r="A16" t="s">
        <v>332</v>
      </c>
    </row>
    <row r="17" spans="1:7" x14ac:dyDescent="0.35">
      <c r="A17" t="s">
        <v>331</v>
      </c>
    </row>
    <row r="18" spans="1:7" x14ac:dyDescent="0.35">
      <c r="A18" t="s">
        <v>361</v>
      </c>
    </row>
    <row r="19" spans="1:7" x14ac:dyDescent="0.35">
      <c r="A19" t="s">
        <v>370</v>
      </c>
    </row>
    <row r="20" spans="1:7" x14ac:dyDescent="0.35">
      <c r="A20" t="s">
        <v>453</v>
      </c>
      <c r="B20" t="s">
        <v>454</v>
      </c>
    </row>
    <row r="21" spans="1:7" x14ac:dyDescent="0.35">
      <c r="A21" s="127" t="s">
        <v>333</v>
      </c>
      <c r="B21" s="120"/>
      <c r="C21" s="120"/>
      <c r="D21" s="120"/>
      <c r="E21" s="120"/>
      <c r="F21" s="120"/>
      <c r="G21" s="120"/>
    </row>
    <row r="22" spans="1:7" x14ac:dyDescent="0.35">
      <c r="A22" t="s">
        <v>334</v>
      </c>
    </row>
    <row r="23" spans="1:7" x14ac:dyDescent="0.35">
      <c r="A23" t="s">
        <v>335</v>
      </c>
    </row>
    <row r="24" spans="1:7" x14ac:dyDescent="0.35">
      <c r="A24" t="s">
        <v>336</v>
      </c>
    </row>
    <row r="26" spans="1:7" x14ac:dyDescent="0.35">
      <c r="A26" s="127" t="s">
        <v>321</v>
      </c>
      <c r="B26" s="120"/>
      <c r="C26" s="120"/>
      <c r="D26" s="120"/>
      <c r="E26" s="120"/>
      <c r="F26" s="120"/>
      <c r="G26" s="120"/>
    </row>
    <row r="27" spans="1:7" x14ac:dyDescent="0.35">
      <c r="A27" t="s">
        <v>325</v>
      </c>
    </row>
    <row r="28" spans="1:7" x14ac:dyDescent="0.35">
      <c r="A28" t="s">
        <v>326</v>
      </c>
    </row>
    <row r="29" spans="1:7" x14ac:dyDescent="0.35">
      <c r="A29" t="s">
        <v>369</v>
      </c>
    </row>
    <row r="32" spans="1:7" x14ac:dyDescent="0.35">
      <c r="A32" s="129" t="s">
        <v>327</v>
      </c>
      <c r="B32" s="129"/>
      <c r="C32" s="129"/>
      <c r="D32" s="129"/>
      <c r="E32" s="129"/>
      <c r="F32" s="129"/>
      <c r="G32" s="129"/>
    </row>
    <row r="33" spans="1:7" x14ac:dyDescent="0.35">
      <c r="A33" s="127" t="s">
        <v>320</v>
      </c>
      <c r="B33" s="120"/>
      <c r="C33" s="120"/>
      <c r="D33" s="120"/>
      <c r="E33" s="120"/>
      <c r="F33" s="120"/>
      <c r="G33" s="120"/>
    </row>
    <row r="34" spans="1:7" ht="19.5" customHeight="1" x14ac:dyDescent="0.35">
      <c r="A34" s="119" t="s">
        <v>328</v>
      </c>
    </row>
    <row r="35" spans="1:7" x14ac:dyDescent="0.35">
      <c r="A35" t="s">
        <v>363</v>
      </c>
    </row>
    <row r="36" spans="1:7" x14ac:dyDescent="0.35">
      <c r="A36" t="s">
        <v>337</v>
      </c>
    </row>
    <row r="37" spans="1:7" x14ac:dyDescent="0.35">
      <c r="A37" t="s">
        <v>338</v>
      </c>
    </row>
    <row r="38" spans="1:7" x14ac:dyDescent="0.35">
      <c r="A38" t="s">
        <v>339</v>
      </c>
    </row>
    <row r="39" spans="1:7" x14ac:dyDescent="0.35">
      <c r="A39" s="127" t="s">
        <v>340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C000"/>
    <pageSetUpPr fitToPage="1"/>
  </sheetPr>
  <dimension ref="A1:P65"/>
  <sheetViews>
    <sheetView tabSelected="1" zoomScale="70" zoomScaleNormal="70" zoomScaleSheetLayoutView="55" workbookViewId="0"/>
  </sheetViews>
  <sheetFormatPr baseColWidth="10" defaultColWidth="11.453125" defaultRowHeight="12.5" x14ac:dyDescent="0.25"/>
  <cols>
    <col min="1" max="1" width="5.453125" style="1" customWidth="1"/>
    <col min="2" max="2" width="4.54296875" style="1" hidden="1" customWidth="1"/>
    <col min="3" max="3" width="81.36328125" style="1" customWidth="1"/>
    <col min="4" max="4" width="15.36328125" style="1" hidden="1" customWidth="1"/>
    <col min="5" max="5" width="31.81640625" style="1" customWidth="1"/>
    <col min="6" max="6" width="28.54296875" style="1" bestFit="1" customWidth="1"/>
    <col min="7" max="7" width="16.26953125" style="1" customWidth="1"/>
    <col min="8" max="8" width="2.26953125" style="1" customWidth="1"/>
    <col min="9" max="9" width="3.7265625" style="1" customWidth="1"/>
    <col min="10" max="10" width="6.453125" style="1" customWidth="1"/>
    <col min="11" max="11" width="20.26953125" style="1" customWidth="1"/>
    <col min="12" max="12" width="11.453125" style="1"/>
    <col min="13" max="13" width="4.7265625" style="1" hidden="1" customWidth="1"/>
    <col min="14" max="14" width="11.453125" style="1"/>
    <col min="15" max="15" width="7.90625" style="1" bestFit="1" customWidth="1"/>
    <col min="16" max="16" width="14.08984375" style="1" bestFit="1" customWidth="1"/>
    <col min="17" max="16384" width="11.453125" style="1"/>
  </cols>
  <sheetData>
    <row r="1" spans="1:16" x14ac:dyDescent="0.25">
      <c r="B1" s="7"/>
      <c r="C1" s="7"/>
      <c r="D1" s="7"/>
      <c r="E1" s="7"/>
      <c r="F1" s="7"/>
      <c r="G1" s="7"/>
      <c r="H1" s="7"/>
    </row>
    <row r="2" spans="1:16" ht="13" thickBot="1" x14ac:dyDescent="0.3">
      <c r="A2" s="7"/>
      <c r="B2" s="7"/>
      <c r="C2" s="132" t="s">
        <v>368</v>
      </c>
      <c r="D2" s="7"/>
      <c r="E2" s="7"/>
      <c r="F2" s="7"/>
      <c r="G2" s="7"/>
      <c r="H2" s="7"/>
      <c r="I2" s="2"/>
      <c r="J2" s="2"/>
    </row>
    <row r="3" spans="1:16" ht="30" x14ac:dyDescent="0.6">
      <c r="A3" s="8"/>
      <c r="B3" s="48"/>
      <c r="C3" s="61"/>
      <c r="D3" s="49"/>
      <c r="E3" s="50"/>
      <c r="F3" s="9"/>
      <c r="G3" s="47"/>
      <c r="H3" s="7"/>
      <c r="I3" s="2"/>
      <c r="J3" s="2"/>
      <c r="K3" s="142">
        <v>2</v>
      </c>
      <c r="L3" s="29"/>
      <c r="M3" s="29"/>
    </row>
    <row r="4" spans="1:16" ht="23" x14ac:dyDescent="0.5">
      <c r="A4" s="8"/>
      <c r="B4" s="44"/>
      <c r="C4" s="12"/>
      <c r="D4" s="14"/>
      <c r="E4" s="10"/>
      <c r="F4" s="7"/>
      <c r="G4" s="11"/>
      <c r="H4" s="7"/>
      <c r="I4" s="2"/>
      <c r="J4" s="2"/>
    </row>
    <row r="5" spans="1:16" ht="13.5" x14ac:dyDescent="0.35">
      <c r="A5" s="8"/>
      <c r="B5" s="44"/>
      <c r="C5" s="12"/>
      <c r="D5" s="15"/>
      <c r="E5" s="8"/>
      <c r="F5" s="7"/>
      <c r="G5" s="11"/>
      <c r="H5" s="7"/>
      <c r="I5" s="2"/>
      <c r="J5" s="2"/>
      <c r="K5" s="2"/>
    </row>
    <row r="6" spans="1:16" ht="41.5" customHeight="1" thickBot="1" x14ac:dyDescent="0.95">
      <c r="A6" s="8"/>
      <c r="B6" s="44"/>
      <c r="C6" s="103" t="s">
        <v>377</v>
      </c>
      <c r="D6" s="15"/>
      <c r="E6" s="8"/>
      <c r="F6" s="20" t="s">
        <v>393</v>
      </c>
      <c r="G6" s="11"/>
      <c r="H6" s="7"/>
    </row>
    <row r="7" spans="1:16" ht="14" thickBot="1" x14ac:dyDescent="0.4">
      <c r="A7" s="8"/>
      <c r="B7" s="44"/>
      <c r="C7" s="12" t="s">
        <v>364</v>
      </c>
      <c r="D7" s="16"/>
      <c r="E7" s="8"/>
      <c r="F7" s="7"/>
      <c r="G7" s="11"/>
      <c r="H7" s="7"/>
      <c r="I7" s="2"/>
      <c r="M7" s="52" t="str">
        <f>VLOOKUP(N7,'TABLA COMIDAS'!$B$4:$C$12,2,FALSE)</f>
        <v>CO</v>
      </c>
      <c r="N7" s="146" t="s">
        <v>286</v>
      </c>
      <c r="O7" s="147"/>
    </row>
    <row r="8" spans="1:16" ht="16.5" customHeight="1" thickBot="1" x14ac:dyDescent="0.5">
      <c r="A8" s="8"/>
      <c r="B8" s="44"/>
      <c r="C8" s="12" t="s">
        <v>365</v>
      </c>
      <c r="D8" s="5"/>
      <c r="E8" s="8"/>
      <c r="F8" s="7"/>
      <c r="G8" s="11"/>
      <c r="H8" s="7"/>
      <c r="I8" s="2"/>
      <c r="J8" s="131" t="s">
        <v>22</v>
      </c>
      <c r="K8" s="25" t="s">
        <v>23</v>
      </c>
      <c r="L8" s="26" t="s">
        <v>24</v>
      </c>
      <c r="M8" s="25"/>
      <c r="N8" s="25" t="s">
        <v>26</v>
      </c>
      <c r="O8" s="25" t="s">
        <v>27</v>
      </c>
      <c r="P8" s="26" t="s">
        <v>341</v>
      </c>
    </row>
    <row r="9" spans="1:16" ht="16.5" customHeight="1" thickBot="1" x14ac:dyDescent="0.55000000000000004">
      <c r="A9" s="7"/>
      <c r="B9" s="12"/>
      <c r="C9" s="12" t="s">
        <v>366</v>
      </c>
      <c r="D9" s="7"/>
      <c r="E9" s="7"/>
      <c r="F9" s="7"/>
      <c r="G9" s="11"/>
      <c r="H9" s="7"/>
      <c r="I9" s="2"/>
      <c r="J9" s="134" t="s">
        <v>342</v>
      </c>
      <c r="K9" s="137" t="s">
        <v>456</v>
      </c>
      <c r="L9" s="135">
        <v>11</v>
      </c>
      <c r="M9" s="19"/>
      <c r="N9" s="27" t="str">
        <f>IF(AND(K9&lt;&gt;"",L9&gt;0),"+","")</f>
        <v>+</v>
      </c>
      <c r="O9" s="22" t="str">
        <f>IF(AND(K9&lt;&gt;"",L9&gt;0),"-","")</f>
        <v>-</v>
      </c>
      <c r="P9" s="31" t="str">
        <f ca="1">IFERROR(IF(Tabla4[[#This Row],[REF.]]&lt;&gt;"",CADENACOINCIDE(Tabla4[[#This Row],[REF.]],Tabla_Conceptos[Referencia]),""),"")</f>
        <v>0</v>
      </c>
    </row>
    <row r="10" spans="1:16" ht="17" thickBot="1" x14ac:dyDescent="0.55000000000000004">
      <c r="A10" s="7"/>
      <c r="B10" s="12"/>
      <c r="C10" s="12" t="s">
        <v>367</v>
      </c>
      <c r="D10" s="17"/>
      <c r="E10" s="7"/>
      <c r="F10" s="7"/>
      <c r="G10" s="11"/>
      <c r="H10" s="7"/>
      <c r="I10" s="2"/>
      <c r="J10" s="136" t="s">
        <v>343</v>
      </c>
      <c r="K10" s="137" t="s">
        <v>455</v>
      </c>
      <c r="L10" s="138">
        <v>22</v>
      </c>
      <c r="M10" s="4"/>
      <c r="N10" s="28" t="str">
        <f>IF(AND(K11&lt;&gt;"",L10&gt;0),"+","")</f>
        <v>+</v>
      </c>
      <c r="O10" s="23" t="str">
        <f>IF(AND(K11&lt;&gt;"",L10&gt;0),"-","")</f>
        <v>-</v>
      </c>
      <c r="P10" s="31" t="str">
        <f ca="1">IFERROR(IF(Tabla4[[#This Row],[REF.]]&lt;&gt;"",CADENACOINCIDE(Tabla4[[#This Row],[REF.]],Tabla_Conceptos[Referencia]),""),"")</f>
        <v>1</v>
      </c>
    </row>
    <row r="11" spans="1:16" ht="17" thickBot="1" x14ac:dyDescent="0.55000000000000004">
      <c r="A11" s="7"/>
      <c r="B11" s="12"/>
      <c r="C11" s="12"/>
      <c r="D11" s="7"/>
      <c r="E11" s="7"/>
      <c r="F11" s="7"/>
      <c r="G11" s="11"/>
      <c r="H11" s="7"/>
      <c r="I11" s="2"/>
      <c r="J11" s="136" t="s">
        <v>344</v>
      </c>
      <c r="K11" s="137" t="s">
        <v>378</v>
      </c>
      <c r="L11" s="138">
        <v>18</v>
      </c>
      <c r="M11" s="4"/>
      <c r="N11" s="28" t="str">
        <f>IF(AND(K12&lt;&gt;"",L11&gt;0),"+","")</f>
        <v>+</v>
      </c>
      <c r="O11" s="23" t="str">
        <f>IF(AND(K12&lt;&gt;"",L11&gt;0),"-","")</f>
        <v>-</v>
      </c>
      <c r="P11" s="31" t="str">
        <f ca="1">IFERROR(IF(Tabla4[[#This Row],[REF.]]&lt;&gt;"",CADENACOINCIDE(Tabla4[[#This Row],[REF.]],Tabla_Conceptos[Referencia]),""),"")</f>
        <v>1</v>
      </c>
    </row>
    <row r="12" spans="1:16" ht="21.5" customHeight="1" thickBot="1" x14ac:dyDescent="0.65">
      <c r="A12" s="7"/>
      <c r="B12" s="12"/>
      <c r="C12" s="121" t="s">
        <v>3</v>
      </c>
      <c r="D12" s="17" t="s">
        <v>8</v>
      </c>
      <c r="E12" s="7" t="s">
        <v>301</v>
      </c>
      <c r="F12" s="133">
        <f>FAC_REFERENCIA</f>
        <v>2</v>
      </c>
      <c r="G12" s="11"/>
      <c r="H12" s="7"/>
      <c r="I12" s="2"/>
      <c r="J12" s="136" t="s">
        <v>345</v>
      </c>
      <c r="K12" s="137" t="s">
        <v>379</v>
      </c>
      <c r="L12" s="138">
        <v>2.6</v>
      </c>
      <c r="M12" s="4"/>
      <c r="N12" s="28" t="str">
        <f>IF(AND(K12&lt;&gt;"",L12&gt;0),"+","")</f>
        <v>+</v>
      </c>
      <c r="O12" s="23" t="str">
        <f>IF(AND(K12&lt;&gt;"",L12&gt;0),"-","")</f>
        <v>-</v>
      </c>
      <c r="P12" s="31" t="str">
        <f ca="1">IFERROR(IF(Tabla4[[#This Row],[REF.]]&lt;&gt;"",CADENACOINCIDE(Tabla4[[#This Row],[REF.]],Tabla_Conceptos[Referencia]),""),"")</f>
        <v>0</v>
      </c>
    </row>
    <row r="13" spans="1:16" ht="16.5" customHeight="1" thickBot="1" x14ac:dyDescent="0.55000000000000004">
      <c r="A13" s="7"/>
      <c r="B13" s="12"/>
      <c r="C13" s="122"/>
      <c r="D13" s="7"/>
      <c r="E13" s="7"/>
      <c r="F13" s="106"/>
      <c r="G13" s="107"/>
      <c r="H13" s="7"/>
      <c r="I13" s="2"/>
      <c r="J13" s="136" t="s">
        <v>346</v>
      </c>
      <c r="K13" s="137" t="s">
        <v>380</v>
      </c>
      <c r="L13" s="138">
        <v>30</v>
      </c>
      <c r="M13" s="4"/>
      <c r="N13" s="28" t="str">
        <f>IF(AND(K13&lt;&gt;"",L13&gt;0),"+","")</f>
        <v>+</v>
      </c>
      <c r="O13" s="23" t="str">
        <f>IF(AND(K13&lt;&gt;"",L13&gt;0),"-","")</f>
        <v>-</v>
      </c>
      <c r="P13" s="31" t="str">
        <f ca="1">IFERROR(IF(Tabla4[[#This Row],[REF.]]&lt;&gt;"",CADENACOINCIDE(Tabla4[[#This Row],[REF.]],Tabla_Conceptos[Referencia]),""),"")</f>
        <v>1</v>
      </c>
    </row>
    <row r="14" spans="1:16" ht="19.5" thickBot="1" x14ac:dyDescent="0.55000000000000004">
      <c r="B14" s="12"/>
      <c r="C14" s="123" t="s">
        <v>4</v>
      </c>
      <c r="D14" s="91" t="s">
        <v>9</v>
      </c>
      <c r="E14" s="7" t="s">
        <v>0</v>
      </c>
      <c r="F14" s="128">
        <v>44088</v>
      </c>
      <c r="G14" s="107"/>
      <c r="H14" s="7"/>
      <c r="I14" s="2"/>
      <c r="J14" s="136" t="s">
        <v>347</v>
      </c>
      <c r="K14" s="137" t="s">
        <v>381</v>
      </c>
      <c r="L14" s="138">
        <v>10</v>
      </c>
      <c r="M14" s="4"/>
      <c r="N14" s="20" t="str">
        <f>IF(AND(K14&lt;&gt;"",L14&gt;0),"+","")</f>
        <v>+</v>
      </c>
      <c r="O14" s="23" t="str">
        <f>IF(AND(K14&lt;&gt;"",L14&gt;0),"-","")</f>
        <v>-</v>
      </c>
      <c r="P14" s="31" t="str">
        <f ca="1">IFERROR(IF(Tabla4[[#This Row],[REF.]]&lt;&gt;"",CADENACOINCIDE(Tabla4[[#This Row],[REF.]],Tabla_Conceptos[Referencia]),""),"")</f>
        <v>6</v>
      </c>
    </row>
    <row r="15" spans="1:16" ht="17.5" thickBot="1" x14ac:dyDescent="0.55000000000000004">
      <c r="B15" s="12"/>
      <c r="C15" s="123" t="s">
        <v>5</v>
      </c>
      <c r="D15" s="91"/>
      <c r="E15" s="91"/>
      <c r="F15" s="7"/>
      <c r="G15" s="107"/>
      <c r="H15" s="7"/>
      <c r="I15" s="2"/>
      <c r="J15" s="136" t="s">
        <v>348</v>
      </c>
      <c r="K15" s="137" t="s">
        <v>382</v>
      </c>
      <c r="L15" s="138">
        <v>5</v>
      </c>
      <c r="M15" s="4"/>
      <c r="N15" s="20" t="str">
        <f t="shared" ref="N15:N58" si="0">IF(AND(K15&lt;&gt;"",L15&gt;0),"+","")</f>
        <v>+</v>
      </c>
      <c r="O15" s="23" t="str">
        <f t="shared" ref="O15:O58" si="1">IF(AND(K15&lt;&gt;"",L15&gt;0),"-","")</f>
        <v>-</v>
      </c>
      <c r="P15" s="31" t="str">
        <f ca="1">IFERROR(IF(Tabla4[[#This Row],[REF.]]&lt;&gt;"",CADENACOINCIDE(Tabla4[[#This Row],[REF.]],Tabla_Conceptos[Referencia]),""),"")</f>
        <v>0</v>
      </c>
    </row>
    <row r="16" spans="1:16" ht="17.5" thickBot="1" x14ac:dyDescent="0.55000000000000004">
      <c r="B16" s="12"/>
      <c r="C16" s="124" t="s">
        <v>6</v>
      </c>
      <c r="D16" s="64"/>
      <c r="E16" s="102" t="s">
        <v>25</v>
      </c>
      <c r="F16" s="53"/>
      <c r="G16" s="107"/>
      <c r="H16" s="5"/>
      <c r="I16" s="2"/>
      <c r="J16" s="136" t="s">
        <v>349</v>
      </c>
      <c r="K16" s="137" t="s">
        <v>383</v>
      </c>
      <c r="L16" s="138">
        <v>10</v>
      </c>
      <c r="M16" s="4"/>
      <c r="N16" s="20" t="str">
        <f t="shared" si="0"/>
        <v>+</v>
      </c>
      <c r="O16" s="23" t="str">
        <f t="shared" si="1"/>
        <v>-</v>
      </c>
      <c r="P16" s="31" t="str">
        <f ca="1">IFERROR(IF(Tabla4[[#This Row],[REF.]]&lt;&gt;"",CADENACOINCIDE(Tabla4[[#This Row],[REF.]],Tabla_Conceptos[Referencia]),""),"")</f>
        <v>1</v>
      </c>
    </row>
    <row r="17" spans="1:16" ht="18.5" thickBot="1" x14ac:dyDescent="0.6">
      <c r="A17" s="3"/>
      <c r="B17" s="45"/>
      <c r="C17" s="125" t="s">
        <v>7</v>
      </c>
      <c r="D17" s="64"/>
      <c r="E17" s="155" t="s">
        <v>399</v>
      </c>
      <c r="F17" s="156"/>
      <c r="G17" s="107"/>
      <c r="H17" s="5"/>
      <c r="J17" s="136" t="s">
        <v>350</v>
      </c>
      <c r="K17" s="137" t="s">
        <v>384</v>
      </c>
      <c r="L17" s="138">
        <v>2</v>
      </c>
      <c r="M17" s="4"/>
      <c r="N17" s="20" t="str">
        <f t="shared" si="0"/>
        <v>+</v>
      </c>
      <c r="O17" s="23" t="str">
        <f t="shared" si="1"/>
        <v>-</v>
      </c>
      <c r="P17" s="31" t="str">
        <f ca="1">IFERROR(IF(Tabla4[[#This Row],[REF.]]&lt;&gt;"",CADENACOINCIDE(Tabla4[[#This Row],[REF.]],Tabla_Conceptos[Referencia]),""),"")</f>
        <v>1</v>
      </c>
    </row>
    <row r="18" spans="1:16" ht="17.5" thickBot="1" x14ac:dyDescent="0.55000000000000004">
      <c r="A18" s="3"/>
      <c r="B18" s="45"/>
      <c r="C18" s="92"/>
      <c r="D18" s="64"/>
      <c r="E18" s="153" t="str">
        <f>IFERROR(VLOOKUP($E$17,Tabla_CLIENTES[],2),"")</f>
        <v>Dirección</v>
      </c>
      <c r="F18" s="154"/>
      <c r="G18" s="107"/>
      <c r="H18" s="5"/>
      <c r="J18" s="136" t="s">
        <v>351</v>
      </c>
      <c r="K18" s="137" t="s">
        <v>385</v>
      </c>
      <c r="L18" s="138">
        <v>40</v>
      </c>
      <c r="M18" s="4"/>
      <c r="N18" s="20" t="str">
        <f t="shared" si="0"/>
        <v>+</v>
      </c>
      <c r="O18" s="23" t="str">
        <f t="shared" si="1"/>
        <v>-</v>
      </c>
      <c r="P18" s="31" t="str">
        <f ca="1">IFERROR(IF(Tabla4[[#This Row],[REF.]]&lt;&gt;"",CADENACOINCIDE(Tabla4[[#This Row],[REF.]],Tabla_Conceptos[Referencia]),""),"")</f>
        <v>0</v>
      </c>
    </row>
    <row r="19" spans="1:16" ht="17" thickBot="1" x14ac:dyDescent="0.55000000000000004">
      <c r="A19" s="3"/>
      <c r="B19" s="45"/>
      <c r="C19" s="12"/>
      <c r="D19" s="5"/>
      <c r="E19" s="157" t="str">
        <f>IFERROR(VLOOKUP($E$17,Tabla_CLIENTES[],3),"")</f>
        <v>MAHADAHONDA</v>
      </c>
      <c r="F19" s="158"/>
      <c r="G19" s="107"/>
      <c r="H19" s="5"/>
      <c r="J19" s="136" t="s">
        <v>352</v>
      </c>
      <c r="K19" s="137" t="s">
        <v>386</v>
      </c>
      <c r="L19" s="138">
        <v>70</v>
      </c>
      <c r="M19" s="4"/>
      <c r="N19" s="20" t="str">
        <f t="shared" ref="N19:N40" si="2">IF(AND(K19&lt;&gt;"",L19&gt;0),"+","")</f>
        <v>+</v>
      </c>
      <c r="O19" s="23" t="str">
        <f t="shared" ref="O19:O40" si="3">IF(AND(K19&lt;&gt;"",L19&gt;0),"-","")</f>
        <v>-</v>
      </c>
      <c r="P19" s="31" t="str">
        <f ca="1">IFERROR(IF(Tabla4[[#This Row],[REF.]]&lt;&gt;"",CADENACOINCIDE(Tabla4[[#This Row],[REF.]],Tabla_Conceptos[Referencia]),""),"")</f>
        <v>0</v>
      </c>
    </row>
    <row r="20" spans="1:16" ht="17" thickBot="1" x14ac:dyDescent="0.55000000000000004">
      <c r="A20" s="3"/>
      <c r="B20" s="45"/>
      <c r="C20" s="12"/>
      <c r="D20" s="5"/>
      <c r="E20" s="157" t="str">
        <f>IFERROR(CONCATENATE(VLOOKUP($E$17,Tabla_CLIENTES[],5)," ",VLOOKUP($E$17,Tabla_CLIENTES[],4)),"")</f>
        <v>28108 MADRID</v>
      </c>
      <c r="F20" s="158"/>
      <c r="G20" s="107"/>
      <c r="H20" s="5"/>
      <c r="J20" s="136" t="s">
        <v>353</v>
      </c>
      <c r="K20" s="137" t="s">
        <v>387</v>
      </c>
      <c r="L20" s="138">
        <v>71</v>
      </c>
      <c r="M20" s="4"/>
      <c r="N20" s="20" t="str">
        <f t="shared" si="2"/>
        <v>+</v>
      </c>
      <c r="O20" s="23" t="str">
        <f t="shared" si="3"/>
        <v>-</v>
      </c>
      <c r="P20" s="31" t="str">
        <f ca="1">IFERROR(IF(Tabla4[[#This Row],[REF.]]&lt;&gt;"",CADENACOINCIDE(Tabla4[[#This Row],[REF.]],Tabla_Conceptos[Referencia]),""),"")</f>
        <v>1</v>
      </c>
    </row>
    <row r="21" spans="1:16" ht="17" thickBot="1" x14ac:dyDescent="0.55000000000000004">
      <c r="A21" s="3"/>
      <c r="B21" s="45"/>
      <c r="C21" s="12"/>
      <c r="D21" s="5"/>
      <c r="E21" s="157">
        <f>IFERROR(VLOOKUP($E$17,Tabla_CLIENTES[],8),"")</f>
        <v>0</v>
      </c>
      <c r="F21" s="158"/>
      <c r="G21" s="107"/>
      <c r="H21" s="5"/>
      <c r="J21" s="136" t="s">
        <v>354</v>
      </c>
      <c r="K21" s="137" t="s">
        <v>388</v>
      </c>
      <c r="L21" s="138">
        <v>72</v>
      </c>
      <c r="M21" s="4"/>
      <c r="N21" s="20" t="str">
        <f t="shared" si="2"/>
        <v>+</v>
      </c>
      <c r="O21" s="23" t="str">
        <f t="shared" si="3"/>
        <v>-</v>
      </c>
      <c r="P21" s="31" t="str">
        <f ca="1">IFERROR(IF(Tabla4[[#This Row],[REF.]]&lt;&gt;"",CADENACOINCIDE(Tabla4[[#This Row],[REF.]],Tabla_Conceptos[Referencia]),""),"")</f>
        <v>0</v>
      </c>
    </row>
    <row r="22" spans="1:16" ht="17" thickBot="1" x14ac:dyDescent="0.55000000000000004">
      <c r="A22" s="3"/>
      <c r="B22" s="45"/>
      <c r="C22" s="62"/>
      <c r="D22" s="5"/>
      <c r="E22" s="159"/>
      <c r="F22" s="160"/>
      <c r="G22" s="107"/>
      <c r="H22" s="5"/>
      <c r="J22" s="136" t="s">
        <v>355</v>
      </c>
      <c r="K22" s="137" t="s">
        <v>389</v>
      </c>
      <c r="L22" s="138">
        <v>73</v>
      </c>
      <c r="M22" s="4"/>
      <c r="N22" s="20" t="str">
        <f t="shared" si="2"/>
        <v>+</v>
      </c>
      <c r="O22" s="23" t="str">
        <f t="shared" si="3"/>
        <v>-</v>
      </c>
      <c r="P22" s="31" t="str">
        <f ca="1">IFERROR(IF(Tabla4[[#This Row],[REF.]]&lt;&gt;"",CADENACOINCIDE(Tabla4[[#This Row],[REF.]],Tabla_Conceptos[Referencia]),""),"")</f>
        <v>0</v>
      </c>
    </row>
    <row r="23" spans="1:16" ht="17" thickBot="1" x14ac:dyDescent="0.55000000000000004">
      <c r="A23" s="3"/>
      <c r="B23" s="45"/>
      <c r="C23" s="62"/>
      <c r="D23" s="5"/>
      <c r="E23" s="7"/>
      <c r="F23" s="7"/>
      <c r="G23" s="107"/>
      <c r="H23" s="5"/>
      <c r="J23" s="136" t="s">
        <v>356</v>
      </c>
      <c r="K23" s="137" t="s">
        <v>390</v>
      </c>
      <c r="L23" s="138">
        <v>74</v>
      </c>
      <c r="M23" s="4"/>
      <c r="N23" s="20" t="str">
        <f t="shared" si="2"/>
        <v>+</v>
      </c>
      <c r="O23" s="23" t="str">
        <f t="shared" si="3"/>
        <v>-</v>
      </c>
      <c r="P23" s="31" t="str">
        <f ca="1">IFERROR(IF(Tabla4[[#This Row],[REF.]]&lt;&gt;"",CADENACOINCIDE(Tabla4[[#This Row],[REF.]],Tabla_Conceptos[Referencia]),""),"")</f>
        <v>1</v>
      </c>
    </row>
    <row r="24" spans="1:16" ht="17" thickBot="1" x14ac:dyDescent="0.55000000000000004">
      <c r="A24" s="3"/>
      <c r="B24" s="45"/>
      <c r="C24" s="62"/>
      <c r="D24" s="5"/>
      <c r="E24" s="7"/>
      <c r="F24" s="7"/>
      <c r="G24" s="13"/>
      <c r="H24" s="5"/>
      <c r="J24" s="136" t="s">
        <v>357</v>
      </c>
      <c r="K24" s="137" t="s">
        <v>391</v>
      </c>
      <c r="L24" s="138">
        <v>75</v>
      </c>
      <c r="M24" s="4"/>
      <c r="N24" s="20" t="str">
        <f t="shared" si="2"/>
        <v>+</v>
      </c>
      <c r="O24" s="23" t="str">
        <f t="shared" si="3"/>
        <v>-</v>
      </c>
      <c r="P24" s="31" t="str">
        <f ca="1">IFERROR(IF(Tabla4[[#This Row],[REF.]]&lt;&gt;"",CADENACOINCIDE(Tabla4[[#This Row],[REF.]],Tabla_Conceptos[Referencia]),""),"")</f>
        <v>0</v>
      </c>
    </row>
    <row r="25" spans="1:16" ht="17" thickBot="1" x14ac:dyDescent="0.55000000000000004">
      <c r="A25" s="3"/>
      <c r="B25" s="45"/>
      <c r="C25" s="62"/>
      <c r="D25" s="5"/>
      <c r="E25" s="5"/>
      <c r="F25" s="5"/>
      <c r="G25" s="13"/>
      <c r="H25" s="5"/>
      <c r="J25" s="136" t="s">
        <v>358</v>
      </c>
      <c r="K25" s="137" t="s">
        <v>392</v>
      </c>
      <c r="L25" s="138">
        <v>76</v>
      </c>
      <c r="M25" s="4"/>
      <c r="N25" s="20" t="str">
        <f t="shared" si="2"/>
        <v>+</v>
      </c>
      <c r="O25" s="23" t="str">
        <f t="shared" si="3"/>
        <v>-</v>
      </c>
      <c r="P25" s="31" t="str">
        <f ca="1">IFERROR(IF(Tabla4[[#This Row],[REF.]]&lt;&gt;"",CADENACOINCIDE(Tabla4[[#This Row],[REF.]],Tabla_Conceptos[Referencia]),""),"")</f>
        <v>0</v>
      </c>
    </row>
    <row r="26" spans="1:16" ht="17" thickBot="1" x14ac:dyDescent="0.55000000000000004">
      <c r="A26" s="3"/>
      <c r="B26" s="45"/>
      <c r="C26" s="62"/>
      <c r="D26" s="5"/>
      <c r="E26" s="5"/>
      <c r="F26" s="5"/>
      <c r="G26" s="13"/>
      <c r="H26" s="5"/>
      <c r="J26" s="136"/>
      <c r="K26" s="137"/>
      <c r="L26" s="138"/>
      <c r="M26" s="4"/>
      <c r="N26" s="20" t="str">
        <f t="shared" si="2"/>
        <v/>
      </c>
      <c r="O26" s="23" t="str">
        <f t="shared" si="3"/>
        <v/>
      </c>
      <c r="P26" s="31" t="str">
        <f>IFERROR(IF(Tabla4[[#This Row],[REF.]]&lt;&gt;"",CADENACOINCIDE(Tabla4[[#This Row],[REF.]],Tabla_Conceptos[Referencia]),""),"")</f>
        <v/>
      </c>
    </row>
    <row r="27" spans="1:16" ht="17" thickBot="1" x14ac:dyDescent="0.55000000000000004">
      <c r="A27" s="3"/>
      <c r="B27" s="45"/>
      <c r="C27" s="62"/>
      <c r="D27" s="5"/>
      <c r="E27" s="5"/>
      <c r="F27" s="5"/>
      <c r="G27" s="13"/>
      <c r="H27" s="5"/>
      <c r="J27" s="136"/>
      <c r="K27" s="137"/>
      <c r="L27" s="138"/>
      <c r="M27" s="4"/>
      <c r="N27" s="20" t="str">
        <f t="shared" si="2"/>
        <v/>
      </c>
      <c r="O27" s="23" t="str">
        <f t="shared" si="3"/>
        <v/>
      </c>
      <c r="P27" s="31" t="str">
        <f>IFERROR(IF(Tabla4[[#This Row],[REF.]]&lt;&gt;"",CADENACOINCIDE(Tabla4[[#This Row],[REF.]],Tabla_Conceptos[Referencia]),""),"")</f>
        <v/>
      </c>
    </row>
    <row r="28" spans="1:16" ht="17" thickBot="1" x14ac:dyDescent="0.55000000000000004">
      <c r="A28" s="3"/>
      <c r="B28" s="45"/>
      <c r="C28" s="62"/>
      <c r="D28" s="5"/>
      <c r="E28" s="5"/>
      <c r="F28" s="5"/>
      <c r="G28" s="13"/>
      <c r="H28" s="5"/>
      <c r="J28" s="136"/>
      <c r="K28" s="137"/>
      <c r="L28" s="138"/>
      <c r="M28" s="4"/>
      <c r="N28" s="20" t="str">
        <f t="shared" si="2"/>
        <v/>
      </c>
      <c r="O28" s="23" t="str">
        <f t="shared" si="3"/>
        <v/>
      </c>
      <c r="P28" s="31" t="str">
        <f>IFERROR(IF(Tabla4[[#This Row],[REF.]]&lt;&gt;"",CADENACOINCIDE(Tabla4[[#This Row],[REF.]],Tabla_Conceptos[Referencia]),""),"")</f>
        <v/>
      </c>
    </row>
    <row r="29" spans="1:16" ht="17" thickBot="1" x14ac:dyDescent="0.55000000000000004">
      <c r="A29" s="3"/>
      <c r="B29" s="45"/>
      <c r="C29" s="62"/>
      <c r="D29" s="5"/>
      <c r="E29" s="6"/>
      <c r="F29" s="5"/>
      <c r="G29" s="13"/>
      <c r="H29" s="5"/>
      <c r="J29" s="136"/>
      <c r="K29" s="137"/>
      <c r="L29" s="138"/>
      <c r="M29" s="4"/>
      <c r="N29" s="20" t="str">
        <f t="shared" si="2"/>
        <v/>
      </c>
      <c r="O29" s="23" t="str">
        <f t="shared" si="3"/>
        <v/>
      </c>
      <c r="P29" s="31" t="str">
        <f>IFERROR(IF(Tabla4[[#This Row],[REF.]]&lt;&gt;"",CADENACOINCIDE(Tabla4[[#This Row],[REF.]],Tabla_Conceptos[Referencia]),""),"")</f>
        <v/>
      </c>
    </row>
    <row r="30" spans="1:16" ht="17" thickBot="1" x14ac:dyDescent="0.55000000000000004">
      <c r="A30" s="3"/>
      <c r="B30" s="51"/>
      <c r="C30" s="93" t="s">
        <v>10</v>
      </c>
      <c r="D30" s="94"/>
      <c r="E30" s="95" t="s">
        <v>11</v>
      </c>
      <c r="F30" s="96" t="s">
        <v>12</v>
      </c>
      <c r="G30" s="97" t="s">
        <v>13</v>
      </c>
      <c r="H30" s="5"/>
      <c r="J30" s="136"/>
      <c r="K30" s="137"/>
      <c r="L30" s="138"/>
      <c r="M30" s="4"/>
      <c r="N30" s="20" t="str">
        <f t="shared" si="2"/>
        <v/>
      </c>
      <c r="O30" s="23" t="str">
        <f t="shared" si="3"/>
        <v/>
      </c>
      <c r="P30" s="31" t="str">
        <f>IFERROR(IF(Tabla4[[#This Row],[REF.]]&lt;&gt;"",CADENACOINCIDE(Tabla4[[#This Row],[REF.]],Tabla_Conceptos[Referencia]),""),"")</f>
        <v/>
      </c>
    </row>
    <row r="31" spans="1:16" ht="17.5" thickBot="1" x14ac:dyDescent="0.55000000000000004">
      <c r="A31" s="3"/>
      <c r="B31" s="45" t="s">
        <v>298</v>
      </c>
      <c r="C31" s="98" t="s">
        <v>2</v>
      </c>
      <c r="D31" s="99" t="s">
        <v>21</v>
      </c>
      <c r="E31" s="100" t="s">
        <v>11</v>
      </c>
      <c r="F31" s="99" t="s">
        <v>12</v>
      </c>
      <c r="G31" s="101" t="s">
        <v>13</v>
      </c>
      <c r="H31" s="5"/>
      <c r="J31" s="136"/>
      <c r="K31" s="137"/>
      <c r="L31" s="138"/>
      <c r="M31" s="4"/>
      <c r="N31" s="20" t="str">
        <f t="shared" si="2"/>
        <v/>
      </c>
      <c r="O31" s="23" t="str">
        <f t="shared" si="3"/>
        <v/>
      </c>
      <c r="P31" s="31" t="str">
        <f>IFERROR(IF(Tabla4[[#This Row],[REF.]]&lt;&gt;"",CADENACOINCIDE(Tabla4[[#This Row],[REF.]],Tabla_Conceptos[Referencia]),""),"")</f>
        <v/>
      </c>
    </row>
    <row r="32" spans="1:16" ht="18.5" thickBot="1" x14ac:dyDescent="0.6">
      <c r="A32" s="3"/>
      <c r="B32" s="161" t="s">
        <v>291</v>
      </c>
      <c r="C32" s="162" t="s">
        <v>286</v>
      </c>
      <c r="D32" s="163"/>
      <c r="E32" s="164"/>
      <c r="F32" s="165"/>
      <c r="G32" s="166" t="s">
        <v>359</v>
      </c>
      <c r="H32" s="5"/>
      <c r="J32" s="136"/>
      <c r="K32" s="137"/>
      <c r="L32" s="138"/>
      <c r="M32" s="4"/>
      <c r="N32" s="20" t="str">
        <f t="shared" si="2"/>
        <v/>
      </c>
      <c r="O32" s="23" t="str">
        <f t="shared" si="3"/>
        <v/>
      </c>
      <c r="P32" s="31" t="str">
        <f>IFERROR(IF(Tabla4[[#This Row],[REF.]]&lt;&gt;"",CADENACOINCIDE(Tabla4[[#This Row],[REF.]],Tabla_Conceptos[Referencia]),""),"")</f>
        <v/>
      </c>
    </row>
    <row r="33" spans="1:16" ht="18.5" thickBot="1" x14ac:dyDescent="0.6">
      <c r="A33" s="3"/>
      <c r="B33" s="167" t="s">
        <v>291</v>
      </c>
      <c r="C33" s="168" t="s">
        <v>378</v>
      </c>
      <c r="D33" s="169" t="s">
        <v>462</v>
      </c>
      <c r="E33" s="170">
        <v>1</v>
      </c>
      <c r="F33" s="171">
        <v>18</v>
      </c>
      <c r="G33" s="172">
        <f>F33*E33</f>
        <v>18</v>
      </c>
      <c r="H33" s="5"/>
      <c r="J33" s="136"/>
      <c r="K33" s="137"/>
      <c r="L33" s="138"/>
      <c r="M33" s="4"/>
      <c r="N33" s="20" t="str">
        <f t="shared" si="2"/>
        <v/>
      </c>
      <c r="O33" s="23" t="str">
        <f t="shared" si="3"/>
        <v/>
      </c>
      <c r="P33" s="31" t="str">
        <f>IFERROR(IF(Tabla4[[#This Row],[REF.]]&lt;&gt;"",CADENACOINCIDE(Tabla4[[#This Row],[REF.]],Tabla_Conceptos[Referencia]),""),"")</f>
        <v/>
      </c>
    </row>
    <row r="34" spans="1:16" ht="18.5" thickBot="1" x14ac:dyDescent="0.6">
      <c r="A34" s="3"/>
      <c r="B34" s="167" t="s">
        <v>291</v>
      </c>
      <c r="C34" s="168" t="s">
        <v>380</v>
      </c>
      <c r="D34" s="169" t="s">
        <v>463</v>
      </c>
      <c r="E34" s="170">
        <v>1</v>
      </c>
      <c r="F34" s="171">
        <v>30</v>
      </c>
      <c r="G34" s="172">
        <f>F34*E34</f>
        <v>30</v>
      </c>
      <c r="H34" s="5"/>
      <c r="J34" s="136"/>
      <c r="K34" s="137"/>
      <c r="L34" s="138"/>
      <c r="M34" s="4"/>
      <c r="N34" s="20" t="str">
        <f t="shared" si="2"/>
        <v/>
      </c>
      <c r="O34" s="23" t="str">
        <f t="shared" si="3"/>
        <v/>
      </c>
      <c r="P34" s="31" t="str">
        <f>IFERROR(IF(Tabla4[[#This Row],[REF.]]&lt;&gt;"",CADENACOINCIDE(Tabla4[[#This Row],[REF.]],Tabla_Conceptos[Referencia]),""),"")</f>
        <v/>
      </c>
    </row>
    <row r="35" spans="1:16" ht="18.5" thickBot="1" x14ac:dyDescent="0.6">
      <c r="A35" s="3"/>
      <c r="B35" s="167" t="s">
        <v>291</v>
      </c>
      <c r="C35" s="168" t="s">
        <v>383</v>
      </c>
      <c r="D35" s="169" t="s">
        <v>464</v>
      </c>
      <c r="E35" s="170">
        <v>1</v>
      </c>
      <c r="F35" s="171">
        <v>10</v>
      </c>
      <c r="G35" s="172">
        <f>F35*E35</f>
        <v>10</v>
      </c>
      <c r="H35" s="5"/>
      <c r="J35" s="136"/>
      <c r="K35" s="137"/>
      <c r="L35" s="138"/>
      <c r="M35" s="4"/>
      <c r="N35" s="20" t="str">
        <f t="shared" si="2"/>
        <v/>
      </c>
      <c r="O35" s="23" t="str">
        <f t="shared" si="3"/>
        <v/>
      </c>
      <c r="P35" s="31" t="str">
        <f>IFERROR(IF(Tabla4[[#This Row],[REF.]]&lt;&gt;"",CADENACOINCIDE(Tabla4[[#This Row],[REF.]],Tabla_Conceptos[Referencia]),""),"")</f>
        <v/>
      </c>
    </row>
    <row r="36" spans="1:16" ht="18.5" thickBot="1" x14ac:dyDescent="0.6">
      <c r="A36" s="3"/>
      <c r="B36" s="167" t="s">
        <v>291</v>
      </c>
      <c r="C36" s="168" t="s">
        <v>387</v>
      </c>
      <c r="D36" s="169" t="s">
        <v>465</v>
      </c>
      <c r="E36" s="170">
        <v>1</v>
      </c>
      <c r="F36" s="171">
        <v>71</v>
      </c>
      <c r="G36" s="172">
        <f>F36*E36</f>
        <v>71</v>
      </c>
      <c r="H36" s="5"/>
      <c r="J36" s="136"/>
      <c r="K36" s="137"/>
      <c r="L36" s="138"/>
      <c r="M36" s="4"/>
      <c r="N36" s="20" t="str">
        <f t="shared" si="2"/>
        <v/>
      </c>
      <c r="O36" s="23" t="str">
        <f t="shared" si="3"/>
        <v/>
      </c>
      <c r="P36" s="31" t="str">
        <f>IFERROR(IF(Tabla4[[#This Row],[REF.]]&lt;&gt;"",CADENACOINCIDE(Tabla4[[#This Row],[REF.]],Tabla_Conceptos[Referencia]),""),"")</f>
        <v/>
      </c>
    </row>
    <row r="37" spans="1:16" ht="18.5" thickBot="1" x14ac:dyDescent="0.6">
      <c r="A37" s="3"/>
      <c r="B37" s="167" t="s">
        <v>291</v>
      </c>
      <c r="C37" s="168" t="s">
        <v>390</v>
      </c>
      <c r="D37" s="169" t="s">
        <v>466</v>
      </c>
      <c r="E37" s="170">
        <v>1</v>
      </c>
      <c r="F37" s="171">
        <v>74</v>
      </c>
      <c r="G37" s="172">
        <f>F37*E37</f>
        <v>74</v>
      </c>
      <c r="H37" s="5"/>
      <c r="J37" s="136"/>
      <c r="K37" s="137"/>
      <c r="L37" s="138"/>
      <c r="M37" s="4"/>
      <c r="N37" s="20" t="str">
        <f t="shared" si="2"/>
        <v/>
      </c>
      <c r="O37" s="23" t="str">
        <f t="shared" si="3"/>
        <v/>
      </c>
      <c r="P37" s="31" t="str">
        <f>IFERROR(IF(Tabla4[[#This Row],[REF.]]&lt;&gt;"",CADENACOINCIDE(Tabla4[[#This Row],[REF.]],Tabla_Conceptos[Referencia]),""),"")</f>
        <v/>
      </c>
    </row>
    <row r="38" spans="1:16" ht="18.5" thickBot="1" x14ac:dyDescent="0.6">
      <c r="A38" s="3"/>
      <c r="B38" s="167" t="s">
        <v>291</v>
      </c>
      <c r="C38" s="168" t="s">
        <v>384</v>
      </c>
      <c r="D38" s="169" t="s">
        <v>467</v>
      </c>
      <c r="E38" s="170">
        <v>1</v>
      </c>
      <c r="F38" s="171">
        <v>2</v>
      </c>
      <c r="G38" s="172">
        <f>F38*E38</f>
        <v>2</v>
      </c>
      <c r="H38" s="5"/>
      <c r="J38" s="136"/>
      <c r="K38" s="137"/>
      <c r="L38" s="138"/>
      <c r="M38" s="4"/>
      <c r="N38" s="20" t="str">
        <f t="shared" si="2"/>
        <v/>
      </c>
      <c r="O38" s="23" t="str">
        <f t="shared" si="3"/>
        <v/>
      </c>
      <c r="P38" s="31" t="str">
        <f>IFERROR(IF(Tabla4[[#This Row],[REF.]]&lt;&gt;"",CADENACOINCIDE(Tabla4[[#This Row],[REF.]],Tabla_Conceptos[Referencia]),""),"")</f>
        <v/>
      </c>
    </row>
    <row r="39" spans="1:16" ht="18.5" thickBot="1" x14ac:dyDescent="0.6">
      <c r="A39" s="3"/>
      <c r="B39" s="167" t="s">
        <v>291</v>
      </c>
      <c r="C39" s="168" t="s">
        <v>381</v>
      </c>
      <c r="D39" s="169" t="s">
        <v>468</v>
      </c>
      <c r="E39" s="170">
        <v>6</v>
      </c>
      <c r="F39" s="171">
        <v>10</v>
      </c>
      <c r="G39" s="172">
        <f>F39*E39</f>
        <v>60</v>
      </c>
      <c r="H39" s="5"/>
      <c r="J39" s="136"/>
      <c r="K39" s="137"/>
      <c r="L39" s="138"/>
      <c r="M39" s="4"/>
      <c r="N39" s="20" t="str">
        <f t="shared" si="2"/>
        <v/>
      </c>
      <c r="O39" s="23" t="str">
        <f t="shared" si="3"/>
        <v/>
      </c>
      <c r="P39" s="31" t="str">
        <f>IFERROR(IF(Tabla4[[#This Row],[REF.]]&lt;&gt;"",CADENACOINCIDE(Tabla4[[#This Row],[REF.]],Tabla_Conceptos[Referencia]),""),"")</f>
        <v/>
      </c>
    </row>
    <row r="40" spans="1:16" ht="18.5" thickBot="1" x14ac:dyDescent="0.6">
      <c r="A40" s="3"/>
      <c r="B40" s="167" t="s">
        <v>291</v>
      </c>
      <c r="C40" s="168" t="s">
        <v>455</v>
      </c>
      <c r="D40" s="169" t="s">
        <v>461</v>
      </c>
      <c r="E40" s="170">
        <v>1</v>
      </c>
      <c r="F40" s="171">
        <v>22</v>
      </c>
      <c r="G40" s="172">
        <f>F40*E40</f>
        <v>22</v>
      </c>
      <c r="H40" s="5"/>
      <c r="J40" s="136"/>
      <c r="K40" s="137"/>
      <c r="L40" s="138"/>
      <c r="M40" s="4"/>
      <c r="N40" s="20" t="str">
        <f t="shared" si="2"/>
        <v/>
      </c>
      <c r="O40" s="23" t="str">
        <f t="shared" si="3"/>
        <v/>
      </c>
      <c r="P40" s="31" t="str">
        <f>IFERROR(IF(Tabla4[[#This Row],[REF.]]&lt;&gt;"",CADENACOINCIDE(Tabla4[[#This Row],[REF.]],Tabla_Conceptos[Referencia]),""),"")</f>
        <v/>
      </c>
    </row>
    <row r="41" spans="1:16" ht="19.5" thickBot="1" x14ac:dyDescent="0.6">
      <c r="A41" s="3"/>
      <c r="B41" s="43"/>
      <c r="C41" s="65"/>
      <c r="D41" s="66"/>
      <c r="E41" s="67"/>
      <c r="F41" s="68"/>
      <c r="G41" s="69"/>
      <c r="H41" s="5"/>
      <c r="J41" s="136"/>
      <c r="K41" s="137"/>
      <c r="L41" s="138"/>
      <c r="M41" s="4"/>
      <c r="N41" s="20" t="str">
        <f t="shared" si="0"/>
        <v/>
      </c>
      <c r="O41" s="23" t="str">
        <f t="shared" si="1"/>
        <v/>
      </c>
      <c r="P41" s="31" t="str">
        <f>IFERROR(IF(Tabla4[[#This Row],[REF.]]&lt;&gt;"",CADENACOINCIDE(Tabla4[[#This Row],[REF.]],Tabla_Conceptos[Referencia]),""),"")</f>
        <v/>
      </c>
    </row>
    <row r="42" spans="1:16" ht="19.5" thickBot="1" x14ac:dyDescent="0.6">
      <c r="A42" s="3"/>
      <c r="B42" s="43"/>
      <c r="C42" s="148" t="s">
        <v>14</v>
      </c>
      <c r="D42" s="149"/>
      <c r="E42" s="149"/>
      <c r="F42" s="149"/>
      <c r="G42" s="150"/>
      <c r="H42" s="5"/>
      <c r="J42" s="136"/>
      <c r="K42" s="137"/>
      <c r="L42" s="138"/>
      <c r="M42" s="4"/>
      <c r="N42" s="20" t="str">
        <f t="shared" si="0"/>
        <v/>
      </c>
      <c r="O42" s="23" t="str">
        <f t="shared" si="1"/>
        <v/>
      </c>
      <c r="P42" s="31" t="str">
        <f>IFERROR(IF(Tabla4[[#This Row],[REF.]]&lt;&gt;"",CADENACOINCIDE(Tabla4[[#This Row],[REF.]],Tabla_Conceptos[Referencia]),""),"")</f>
        <v/>
      </c>
    </row>
    <row r="43" spans="1:16" ht="19.5" thickBot="1" x14ac:dyDescent="0.6">
      <c r="A43" s="3"/>
      <c r="B43" s="43"/>
      <c r="C43" s="104" t="s">
        <v>15</v>
      </c>
      <c r="D43" s="105"/>
      <c r="E43" s="70"/>
      <c r="F43" s="70"/>
      <c r="G43" s="71"/>
      <c r="H43" s="5"/>
      <c r="J43" s="136"/>
      <c r="K43" s="137"/>
      <c r="L43" s="138"/>
      <c r="M43" s="4"/>
      <c r="N43" s="20" t="str">
        <f t="shared" si="0"/>
        <v/>
      </c>
      <c r="O43" s="23" t="str">
        <f t="shared" si="1"/>
        <v/>
      </c>
      <c r="P43" s="31" t="str">
        <f>IFERROR(IF(Tabla4[[#This Row],[REF.]]&lt;&gt;"",CADENACOINCIDE(Tabla4[[#This Row],[REF.]],Tabla_Conceptos[Referencia]),""),"")</f>
        <v/>
      </c>
    </row>
    <row r="44" spans="1:16" ht="19.5" thickBot="1" x14ac:dyDescent="0.6">
      <c r="A44" s="3"/>
      <c r="B44" s="43"/>
      <c r="C44" s="72" t="s">
        <v>16</v>
      </c>
      <c r="D44" s="73"/>
      <c r="E44" s="74"/>
      <c r="F44" s="70"/>
      <c r="G44" s="71"/>
      <c r="H44" s="5"/>
      <c r="J44" s="136"/>
      <c r="K44" s="137"/>
      <c r="L44" s="138"/>
      <c r="M44" s="4"/>
      <c r="N44" s="20" t="str">
        <f t="shared" si="0"/>
        <v/>
      </c>
      <c r="O44" s="23" t="str">
        <f t="shared" si="1"/>
        <v/>
      </c>
      <c r="P44" s="31" t="str">
        <f>IFERROR(IF(Tabla4[[#This Row],[REF.]]&lt;&gt;"",CADENACOINCIDE(Tabla4[[#This Row],[REF.]],Tabla_Conceptos[Referencia]),""),"")</f>
        <v/>
      </c>
    </row>
    <row r="45" spans="1:16" ht="20" thickBot="1" x14ac:dyDescent="0.65">
      <c r="A45" s="3"/>
      <c r="B45" s="60"/>
      <c r="C45" s="75"/>
      <c r="D45" s="76"/>
      <c r="E45" s="77"/>
      <c r="F45" s="78" t="s">
        <v>17</v>
      </c>
      <c r="G45" s="79">
        <f>+G49/1.1</f>
        <v>260.90909090909088</v>
      </c>
      <c r="H45" s="5"/>
      <c r="J45" s="136"/>
      <c r="K45" s="137"/>
      <c r="L45" s="138"/>
      <c r="M45" s="4"/>
      <c r="N45" s="20" t="str">
        <f t="shared" si="0"/>
        <v/>
      </c>
      <c r="O45" s="23" t="str">
        <f t="shared" si="1"/>
        <v/>
      </c>
      <c r="P45" s="31" t="str">
        <f>IFERROR(IF(Tabla4[[#This Row],[REF.]]&lt;&gt;"",CADENACOINCIDE(Tabla4[[#This Row],[REF.]],Tabla_Conceptos[Referencia]),""),"")</f>
        <v/>
      </c>
    </row>
    <row r="46" spans="1:16" ht="20" thickBot="1" x14ac:dyDescent="0.65">
      <c r="A46" s="3"/>
      <c r="B46" s="45"/>
      <c r="C46" s="80"/>
      <c r="D46" s="81"/>
      <c r="E46" s="82"/>
      <c r="F46" s="83" t="s">
        <v>18</v>
      </c>
      <c r="G46" s="108">
        <v>0.1</v>
      </c>
      <c r="H46" s="5"/>
      <c r="J46" s="136"/>
      <c r="K46" s="137"/>
      <c r="L46" s="138"/>
      <c r="M46" s="4"/>
      <c r="N46" s="20" t="str">
        <f t="shared" si="0"/>
        <v/>
      </c>
      <c r="O46" s="23" t="str">
        <f t="shared" si="1"/>
        <v/>
      </c>
      <c r="P46" s="31" t="str">
        <f>IFERROR(IF(Tabla4[[#This Row],[REF.]]&lt;&gt;"",CADENACOINCIDE(Tabla4[[#This Row],[REF.]],Tabla_Conceptos[Referencia]),""),"")</f>
        <v/>
      </c>
    </row>
    <row r="47" spans="1:16" ht="20" thickBot="1" x14ac:dyDescent="0.65">
      <c r="A47" s="3"/>
      <c r="B47" s="46"/>
      <c r="C47" s="84"/>
      <c r="D47" s="82"/>
      <c r="E47" s="82"/>
      <c r="F47" s="83" t="s">
        <v>302</v>
      </c>
      <c r="G47" s="85">
        <f>+G49-G45</f>
        <v>26.090909090909122</v>
      </c>
      <c r="H47" s="5"/>
      <c r="J47" s="136"/>
      <c r="K47" s="137"/>
      <c r="L47" s="138"/>
      <c r="M47" s="4"/>
      <c r="N47" s="20" t="str">
        <f t="shared" si="0"/>
        <v/>
      </c>
      <c r="O47" s="23" t="str">
        <f t="shared" si="1"/>
        <v/>
      </c>
      <c r="P47" s="31" t="str">
        <f>IFERROR(IF(Tabla4[[#This Row],[REF.]]&lt;&gt;"",CADENACOINCIDE(Tabla4[[#This Row],[REF.]],Tabla_Conceptos[Referencia]),""),"")</f>
        <v/>
      </c>
    </row>
    <row r="48" spans="1:16" ht="20" thickBot="1" x14ac:dyDescent="0.65">
      <c r="A48" s="3"/>
      <c r="B48" s="46"/>
      <c r="C48" s="80"/>
      <c r="D48" s="81"/>
      <c r="E48" s="82"/>
      <c r="F48" s="83" t="s">
        <v>19</v>
      </c>
      <c r="G48" s="85"/>
      <c r="H48" s="5"/>
      <c r="J48" s="136"/>
      <c r="K48" s="137"/>
      <c r="L48" s="138"/>
      <c r="M48" s="4"/>
      <c r="N48" s="20" t="str">
        <f t="shared" si="0"/>
        <v/>
      </c>
      <c r="O48" s="23" t="str">
        <f t="shared" si="1"/>
        <v/>
      </c>
      <c r="P48" s="31" t="str">
        <f>IFERROR(IF(Tabla4[[#This Row],[REF.]]&lt;&gt;"",CADENACOINCIDE(Tabla4[[#This Row],[REF.]],Tabla_Conceptos[Referencia]),""),"")</f>
        <v/>
      </c>
    </row>
    <row r="49" spans="1:16" ht="20" thickBot="1" x14ac:dyDescent="0.65">
      <c r="A49" s="3"/>
      <c r="B49" s="18"/>
      <c r="C49" s="86"/>
      <c r="D49" s="87"/>
      <c r="E49" s="88"/>
      <c r="F49" s="89" t="s">
        <v>20</v>
      </c>
      <c r="G49" s="90">
        <f>SUM(Tabla_Conceptos[TOTAL IMPORTE])</f>
        <v>287</v>
      </c>
      <c r="H49" s="5"/>
      <c r="J49" s="136"/>
      <c r="K49" s="137"/>
      <c r="L49" s="138"/>
      <c r="M49" s="4"/>
      <c r="N49" s="20" t="str">
        <f t="shared" si="0"/>
        <v/>
      </c>
      <c r="O49" s="23" t="str">
        <f t="shared" si="1"/>
        <v/>
      </c>
      <c r="P49" s="31" t="str">
        <f>IFERROR(IF(Tabla4[[#This Row],[REF.]]&lt;&gt;"",CADENACOINCIDE(Tabla4[[#This Row],[REF.]],Tabla_Conceptos[Referencia]),""),"")</f>
        <v/>
      </c>
    </row>
    <row r="50" spans="1:16" ht="17" thickBot="1" x14ac:dyDescent="0.55000000000000004">
      <c r="A50" s="3"/>
      <c r="B50" s="3"/>
      <c r="C50" s="3"/>
      <c r="D50" s="3"/>
      <c r="E50" s="3"/>
      <c r="F50" s="3"/>
      <c r="G50" s="3"/>
      <c r="H50" s="5"/>
      <c r="J50" s="136"/>
      <c r="K50" s="137"/>
      <c r="L50" s="138"/>
      <c r="M50" s="4"/>
      <c r="N50" s="20" t="str">
        <f t="shared" si="0"/>
        <v/>
      </c>
      <c r="O50" s="23" t="str">
        <f t="shared" si="1"/>
        <v/>
      </c>
      <c r="P50" s="31" t="str">
        <f>IFERROR(IF(Tabla4[[#This Row],[REF.]]&lt;&gt;"",CADENACOINCIDE(Tabla4[[#This Row],[REF.]],Tabla_Conceptos[Referencia]),""),"")</f>
        <v/>
      </c>
    </row>
    <row r="51" spans="1:16" ht="17" thickBot="1" x14ac:dyDescent="0.55000000000000004">
      <c r="A51" s="3"/>
      <c r="C51" s="7"/>
      <c r="D51" s="7"/>
      <c r="E51" s="7"/>
      <c r="F51" s="7"/>
      <c r="G51" s="7"/>
      <c r="H51" s="5"/>
      <c r="J51" s="136"/>
      <c r="K51" s="137"/>
      <c r="L51" s="138"/>
      <c r="M51" s="4"/>
      <c r="N51" s="20" t="str">
        <f t="shared" si="0"/>
        <v/>
      </c>
      <c r="O51" s="23" t="str">
        <f t="shared" si="1"/>
        <v/>
      </c>
      <c r="P51" s="31" t="str">
        <f>IFERROR(IF(Tabla4[[#This Row],[REF.]]&lt;&gt;"",CADENACOINCIDE(Tabla4[[#This Row],[REF.]],Tabla_Conceptos[Referencia]),""),"")</f>
        <v/>
      </c>
    </row>
    <row r="52" spans="1:16" ht="17" thickBot="1" x14ac:dyDescent="0.55000000000000004">
      <c r="A52" s="3"/>
      <c r="C52" s="7"/>
      <c r="D52" s="7"/>
      <c r="E52" s="7"/>
      <c r="F52" s="126"/>
      <c r="G52" s="7"/>
      <c r="H52" s="5"/>
      <c r="J52" s="136"/>
      <c r="K52" s="137"/>
      <c r="L52" s="138"/>
      <c r="M52" s="4"/>
      <c r="N52" s="20" t="str">
        <f t="shared" si="0"/>
        <v/>
      </c>
      <c r="O52" s="23" t="str">
        <f t="shared" si="1"/>
        <v/>
      </c>
      <c r="P52" s="31" t="str">
        <f>IFERROR(IF(Tabla4[[#This Row],[REF.]]&lt;&gt;"",CADENACOINCIDE(Tabla4[[#This Row],[REF.]],Tabla_Conceptos[Referencia]),""),"")</f>
        <v/>
      </c>
    </row>
    <row r="53" spans="1:16" ht="17" thickBot="1" x14ac:dyDescent="0.55000000000000004">
      <c r="A53" s="3"/>
      <c r="C53" s="7"/>
      <c r="D53" s="7"/>
      <c r="E53" s="7"/>
      <c r="F53" s="7"/>
      <c r="G53" s="7"/>
      <c r="H53" s="5"/>
      <c r="J53" s="136"/>
      <c r="K53" s="137"/>
      <c r="L53" s="138"/>
      <c r="M53" s="4"/>
      <c r="N53" s="20" t="str">
        <f t="shared" si="0"/>
        <v/>
      </c>
      <c r="O53" s="23" t="str">
        <f t="shared" si="1"/>
        <v/>
      </c>
      <c r="P53" s="31" t="str">
        <f>IFERROR(IF(Tabla4[[#This Row],[REF.]]&lt;&gt;"",CADENACOINCIDE(Tabla4[[#This Row],[REF.]],Tabla_Conceptos[Referencia]),""),"")</f>
        <v/>
      </c>
    </row>
    <row r="54" spans="1:16" ht="17" thickBot="1" x14ac:dyDescent="0.55000000000000004">
      <c r="A54" s="3"/>
      <c r="C54" s="7"/>
      <c r="D54" s="7"/>
      <c r="E54" s="7"/>
      <c r="F54" s="7"/>
      <c r="G54" s="7"/>
      <c r="H54" s="5"/>
      <c r="J54" s="136"/>
      <c r="K54" s="137"/>
      <c r="L54" s="138"/>
      <c r="M54" s="4"/>
      <c r="N54" s="20" t="str">
        <f t="shared" si="0"/>
        <v/>
      </c>
      <c r="O54" s="23" t="str">
        <f t="shared" si="1"/>
        <v/>
      </c>
      <c r="P54" s="31" t="str">
        <f>IFERROR(IF(Tabla4[[#This Row],[REF.]]&lt;&gt;"",CADENACOINCIDE(Tabla4[[#This Row],[REF.]],Tabla_Conceptos[Referencia]),""),"")</f>
        <v/>
      </c>
    </row>
    <row r="55" spans="1:16" ht="17" thickBot="1" x14ac:dyDescent="0.55000000000000004">
      <c r="A55" s="3"/>
      <c r="C55" s="7"/>
      <c r="D55" s="7"/>
      <c r="E55" s="7"/>
      <c r="F55" s="7"/>
      <c r="G55" s="7"/>
      <c r="H55" s="5"/>
      <c r="J55" s="136"/>
      <c r="K55" s="137"/>
      <c r="L55" s="138"/>
      <c r="M55" s="4"/>
      <c r="N55" s="20" t="str">
        <f t="shared" si="0"/>
        <v/>
      </c>
      <c r="O55" s="23" t="str">
        <f t="shared" si="1"/>
        <v/>
      </c>
      <c r="P55" s="31" t="str">
        <f>IFERROR(IF(Tabla4[[#This Row],[REF.]]&lt;&gt;"",CADENACOINCIDE(Tabla4[[#This Row],[REF.]],Tabla_Conceptos[Referencia]),""),"")</f>
        <v/>
      </c>
    </row>
    <row r="56" spans="1:16" ht="17" thickBot="1" x14ac:dyDescent="0.55000000000000004">
      <c r="A56" s="3"/>
      <c r="C56" s="7"/>
      <c r="D56" s="7"/>
      <c r="E56" s="7"/>
      <c r="F56" s="7"/>
      <c r="G56" s="7"/>
      <c r="H56" s="5"/>
      <c r="J56" s="136"/>
      <c r="K56" s="137"/>
      <c r="L56" s="138"/>
      <c r="M56" s="4"/>
      <c r="N56" s="20" t="str">
        <f t="shared" si="0"/>
        <v/>
      </c>
      <c r="O56" s="23" t="str">
        <f t="shared" si="1"/>
        <v/>
      </c>
      <c r="P56" s="31" t="str">
        <f>IFERROR(IF(Tabla4[[#This Row],[REF.]]&lt;&gt;"",CADENACOINCIDE(Tabla4[[#This Row],[REF.]],Tabla_Conceptos[Referencia]),""),"")</f>
        <v/>
      </c>
    </row>
    <row r="57" spans="1:16" ht="17" thickBot="1" x14ac:dyDescent="0.55000000000000004">
      <c r="A57" s="3"/>
      <c r="C57" s="7"/>
      <c r="D57" s="7"/>
      <c r="E57" s="7"/>
      <c r="F57" s="7"/>
      <c r="G57" s="7"/>
      <c r="H57" s="5"/>
      <c r="J57" s="136"/>
      <c r="K57" s="137"/>
      <c r="L57" s="138"/>
      <c r="M57" s="4"/>
      <c r="N57" s="20" t="str">
        <f t="shared" si="0"/>
        <v/>
      </c>
      <c r="O57" s="23" t="str">
        <f t="shared" si="1"/>
        <v/>
      </c>
      <c r="P57" s="31" t="str">
        <f>IFERROR(IF(Tabla4[[#This Row],[REF.]]&lt;&gt;"",CADENACOINCIDE(Tabla4[[#This Row],[REF.]],Tabla_Conceptos[Referencia]),""),"")</f>
        <v/>
      </c>
    </row>
    <row r="58" spans="1:16" ht="17" thickBot="1" x14ac:dyDescent="0.55000000000000004">
      <c r="A58" s="3"/>
      <c r="C58" s="7"/>
      <c r="D58" s="7"/>
      <c r="E58" s="7"/>
      <c r="F58" s="7"/>
      <c r="G58" s="7"/>
      <c r="H58" s="5"/>
      <c r="J58" s="139"/>
      <c r="K58" s="140"/>
      <c r="L58" s="141"/>
      <c r="M58" s="30"/>
      <c r="N58" s="21" t="str">
        <f t="shared" si="0"/>
        <v/>
      </c>
      <c r="O58" s="24" t="str">
        <f t="shared" si="1"/>
        <v/>
      </c>
      <c r="P58" s="32" t="str">
        <f>IFERROR(IF(Tabla4[[#This Row],[REF.]]&lt;&gt;"",CADENACOINCIDE(Tabla4[[#This Row],[REF.]],Tabla_Conceptos[Referencia]),""),"")</f>
        <v/>
      </c>
    </row>
    <row r="59" spans="1:16" ht="15.5" x14ac:dyDescent="0.45">
      <c r="A59" s="3"/>
      <c r="C59" s="7"/>
      <c r="D59" s="7"/>
      <c r="E59" s="7"/>
      <c r="F59" s="7"/>
      <c r="G59" s="7"/>
      <c r="H59" s="5"/>
    </row>
    <row r="60" spans="1:16" ht="15.5" x14ac:dyDescent="0.45">
      <c r="A60" s="3"/>
      <c r="C60" s="7"/>
      <c r="D60" s="7"/>
      <c r="E60" s="7"/>
      <c r="F60" s="7"/>
      <c r="G60" s="7"/>
      <c r="H60" s="5"/>
    </row>
    <row r="61" spans="1:16" ht="15.5" x14ac:dyDescent="0.45">
      <c r="A61" s="3"/>
      <c r="C61" s="63"/>
      <c r="D61" s="63"/>
      <c r="E61" s="63"/>
      <c r="F61" s="8"/>
      <c r="G61" s="8"/>
      <c r="H61" s="5"/>
    </row>
    <row r="62" spans="1:16" x14ac:dyDescent="0.25">
      <c r="C62" s="63"/>
      <c r="D62" s="63"/>
      <c r="E62" s="63"/>
      <c r="F62" s="63"/>
      <c r="G62" s="112"/>
    </row>
    <row r="63" spans="1:16" ht="13" x14ac:dyDescent="0.3">
      <c r="C63" s="151"/>
      <c r="D63" s="151"/>
      <c r="E63" s="152"/>
      <c r="F63" s="152"/>
      <c r="G63" s="152"/>
    </row>
    <row r="64" spans="1:16" x14ac:dyDescent="0.25">
      <c r="C64" s="152"/>
      <c r="D64" s="152"/>
      <c r="E64" s="152"/>
      <c r="F64" s="113"/>
      <c r="G64" s="113"/>
    </row>
    <row r="65" spans="3:4" ht="13" x14ac:dyDescent="0.3">
      <c r="C65" s="3"/>
      <c r="D65" s="3"/>
    </row>
  </sheetData>
  <mergeCells count="10">
    <mergeCell ref="N7:O7"/>
    <mergeCell ref="C42:G42"/>
    <mergeCell ref="C63:G63"/>
    <mergeCell ref="C64:E64"/>
    <mergeCell ref="E18:F18"/>
    <mergeCell ref="E17:F17"/>
    <mergeCell ref="E19:F19"/>
    <mergeCell ref="E20:F20"/>
    <mergeCell ref="E21:F21"/>
    <mergeCell ref="E22:F22"/>
  </mergeCells>
  <conditionalFormatting sqref="N9:N58">
    <cfRule type="cellIs" dxfId="2" priority="5" operator="equal">
      <formula>"+"</formula>
    </cfRule>
  </conditionalFormatting>
  <conditionalFormatting sqref="O9:O58">
    <cfRule type="cellIs" dxfId="1" priority="4" operator="equal">
      <formula>"-"</formula>
    </cfRule>
  </conditionalFormatting>
  <conditionalFormatting sqref="E17:F20">
    <cfRule type="cellIs" dxfId="0" priority="1" operator="equal">
      <formula>""</formula>
    </cfRule>
  </conditionalFormatting>
  <dataValidations count="2">
    <dataValidation type="list" allowBlank="1" showInputMessage="1" showErrorMessage="1" sqref="E17">
      <formula1>NOMBRE_CLIENTES</formula1>
    </dataValidation>
    <dataValidation type="list" allowBlank="1" showInputMessage="1" showErrorMessage="1" sqref="N7:O7">
      <formula1>Comidas</formula1>
    </dataValidation>
  </dataValidations>
  <hyperlinks>
    <hyperlink ref="C16" r:id="rId1"/>
  </hyperlinks>
  <pageMargins left="0.19685039370078741" right="0.19685039370078741" top="0.35433070866141736" bottom="0.35433070866141736" header="0.31496062992125984" footer="0.31496062992125984"/>
  <pageSetup paperSize="9" scale="60" fitToHeight="0" orientation="portrait" r:id="rId2"/>
  <drawing r:id="rId3"/>
  <legacyDrawing r:id="rId4"/>
  <controls>
    <mc:AlternateContent xmlns:mc="http://schemas.openxmlformats.org/markup-compatibility/2006">
      <mc:Choice Requires="x14">
        <control shapeId="1031" r:id="rId5" name="CheckBox1">
          <controlPr defaultSize="0" autoLine="0" altText="Modificar factura" r:id="rId6">
            <anchor moveWithCells="1">
              <from>
                <xdr:col>11</xdr:col>
                <xdr:colOff>787400</xdr:colOff>
                <xdr:row>0</xdr:row>
                <xdr:rowOff>0</xdr:rowOff>
              </from>
              <to>
                <xdr:col>15</xdr:col>
                <xdr:colOff>800100</xdr:colOff>
                <xdr:row>3</xdr:row>
                <xdr:rowOff>241300</xdr:rowOff>
              </to>
            </anchor>
          </controlPr>
        </control>
      </mc:Choice>
      <mc:Fallback>
        <control shapeId="1031" r:id="rId5" name="CheckBox1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50"/>
  </sheetPr>
  <dimension ref="A1:C12"/>
  <sheetViews>
    <sheetView workbookViewId="0">
      <selection activeCell="C5" sqref="C5"/>
    </sheetView>
  </sheetViews>
  <sheetFormatPr baseColWidth="10" defaultRowHeight="14.5" x14ac:dyDescent="0.35"/>
  <sheetData>
    <row r="1" spans="1:3" x14ac:dyDescent="0.35">
      <c r="A1" s="59" t="s">
        <v>300</v>
      </c>
    </row>
    <row r="2" spans="1:3" x14ac:dyDescent="0.35">
      <c r="B2" t="s">
        <v>299</v>
      </c>
    </row>
    <row r="3" spans="1:3" x14ac:dyDescent="0.35">
      <c r="B3" s="58" t="s">
        <v>280</v>
      </c>
      <c r="C3" s="58" t="s">
        <v>281</v>
      </c>
    </row>
    <row r="4" spans="1:3" x14ac:dyDescent="0.35">
      <c r="B4" s="56"/>
      <c r="C4" s="56"/>
    </row>
    <row r="5" spans="1:3" x14ac:dyDescent="0.35">
      <c r="B5" s="57" t="s">
        <v>282</v>
      </c>
      <c r="C5" s="55" t="s">
        <v>290</v>
      </c>
    </row>
    <row r="6" spans="1:3" x14ac:dyDescent="0.35">
      <c r="B6" s="56" t="s">
        <v>283</v>
      </c>
      <c r="C6" s="54" t="s">
        <v>293</v>
      </c>
    </row>
    <row r="7" spans="1:3" x14ac:dyDescent="0.35">
      <c r="B7" s="57" t="s">
        <v>284</v>
      </c>
      <c r="C7" s="55" t="s">
        <v>294</v>
      </c>
    </row>
    <row r="8" spans="1:3" x14ac:dyDescent="0.35">
      <c r="B8" s="56" t="s">
        <v>285</v>
      </c>
      <c r="C8" s="54" t="s">
        <v>295</v>
      </c>
    </row>
    <row r="9" spans="1:3" x14ac:dyDescent="0.35">
      <c r="B9" s="57" t="s">
        <v>286</v>
      </c>
      <c r="C9" s="55" t="s">
        <v>291</v>
      </c>
    </row>
    <row r="10" spans="1:3" x14ac:dyDescent="0.35">
      <c r="B10" s="56" t="s">
        <v>287</v>
      </c>
      <c r="C10" s="54" t="s">
        <v>292</v>
      </c>
    </row>
    <row r="11" spans="1:3" x14ac:dyDescent="0.35">
      <c r="B11" s="57" t="s">
        <v>288</v>
      </c>
      <c r="C11" s="55" t="s">
        <v>296</v>
      </c>
    </row>
    <row r="12" spans="1:3" x14ac:dyDescent="0.35">
      <c r="B12" s="56" t="s">
        <v>289</v>
      </c>
      <c r="C12" s="54" t="s">
        <v>297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B050"/>
  </sheetPr>
  <dimension ref="A1:AM4281"/>
  <sheetViews>
    <sheetView topLeftCell="A80" workbookViewId="0">
      <selection activeCell="F7" sqref="F7"/>
    </sheetView>
  </sheetViews>
  <sheetFormatPr baseColWidth="10" defaultColWidth="11.453125" defaultRowHeight="14.5" x14ac:dyDescent="0.35"/>
  <cols>
    <col min="1" max="2" width="11.453125" style="36"/>
    <col min="3" max="3" width="31" style="36" customWidth="1"/>
    <col min="4" max="5" width="11.453125" style="36"/>
    <col min="6" max="6" width="18.7265625" style="36" customWidth="1"/>
    <col min="7" max="7" width="12.81640625" style="36" customWidth="1"/>
    <col min="8" max="8" width="51.26953125" style="36" customWidth="1"/>
    <col min="9" max="19" width="0" style="36" hidden="1" customWidth="1"/>
    <col min="20" max="20" width="25.453125" style="36" hidden="1" customWidth="1"/>
    <col min="21" max="27" width="0" style="36" hidden="1" customWidth="1"/>
    <col min="28" max="16384" width="11.453125" style="36"/>
  </cols>
  <sheetData>
    <row r="1" spans="1:39" ht="15" x14ac:dyDescent="0.4">
      <c r="A1" s="36" t="s">
        <v>277</v>
      </c>
      <c r="B1" s="36" t="s">
        <v>270</v>
      </c>
      <c r="C1" s="36" t="s">
        <v>278</v>
      </c>
      <c r="D1" s="36" t="s">
        <v>279</v>
      </c>
      <c r="E1" s="36" t="s">
        <v>271</v>
      </c>
      <c r="F1" s="36" t="s">
        <v>272</v>
      </c>
      <c r="G1" s="36" t="s">
        <v>273</v>
      </c>
      <c r="H1" s="33" t="s">
        <v>269</v>
      </c>
      <c r="I1" s="33" t="s">
        <v>28</v>
      </c>
      <c r="J1" s="34"/>
      <c r="K1" s="34"/>
      <c r="L1" s="34"/>
      <c r="M1" s="34"/>
      <c r="O1" s="34"/>
      <c r="P1" s="34"/>
      <c r="Q1" s="34"/>
      <c r="R1" s="34"/>
      <c r="T1" s="34"/>
      <c r="U1" s="34"/>
      <c r="V1" s="34"/>
      <c r="W1" s="33" t="s">
        <v>31</v>
      </c>
      <c r="X1" s="34"/>
      <c r="Y1" s="34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</row>
    <row r="2" spans="1:39" ht="15" x14ac:dyDescent="0.4">
      <c r="A2" s="36" t="s">
        <v>394</v>
      </c>
      <c r="B2" s="36" t="s">
        <v>270</v>
      </c>
      <c r="C2" s="36" t="s">
        <v>56</v>
      </c>
      <c r="D2" s="36" t="s">
        <v>56</v>
      </c>
      <c r="E2" s="36">
        <v>28108</v>
      </c>
      <c r="I2" s="33"/>
      <c r="J2" s="34"/>
      <c r="K2" s="34"/>
      <c r="L2" s="34"/>
      <c r="M2" s="34"/>
      <c r="O2" s="34"/>
      <c r="P2" s="34"/>
      <c r="Q2" s="34"/>
      <c r="R2" s="34"/>
      <c r="T2" s="34"/>
      <c r="U2" s="34"/>
      <c r="V2" s="34"/>
      <c r="W2" s="33"/>
      <c r="X2" s="34"/>
      <c r="Y2" s="34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ht="15" x14ac:dyDescent="0.4">
      <c r="A3" s="36" t="s">
        <v>395</v>
      </c>
      <c r="B3" s="36" t="s">
        <v>270</v>
      </c>
      <c r="C3" s="36" t="s">
        <v>451</v>
      </c>
      <c r="D3" s="36" t="s">
        <v>56</v>
      </c>
      <c r="E3" s="36">
        <v>28108</v>
      </c>
      <c r="I3" s="33" t="s">
        <v>32</v>
      </c>
      <c r="J3" s="34"/>
      <c r="K3" s="34"/>
      <c r="L3" s="34"/>
      <c r="M3" s="34"/>
      <c r="O3" s="34"/>
      <c r="P3" s="34"/>
      <c r="Q3" s="34"/>
      <c r="R3" s="34"/>
      <c r="T3" s="34"/>
      <c r="U3" s="34"/>
      <c r="V3" s="34"/>
      <c r="W3" s="33" t="s">
        <v>34</v>
      </c>
      <c r="X3" s="34"/>
      <c r="Y3" s="34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ht="15" x14ac:dyDescent="0.4">
      <c r="A4" s="36" t="s">
        <v>396</v>
      </c>
      <c r="B4" s="36" t="s">
        <v>270</v>
      </c>
      <c r="C4" s="36" t="s">
        <v>452</v>
      </c>
      <c r="D4" s="36" t="s">
        <v>37</v>
      </c>
      <c r="E4" s="36" t="s">
        <v>38</v>
      </c>
      <c r="I4" s="33" t="s">
        <v>35</v>
      </c>
      <c r="J4" s="34"/>
      <c r="K4" s="34"/>
      <c r="L4" s="34"/>
      <c r="M4" s="34"/>
      <c r="O4" s="34"/>
      <c r="P4" s="34"/>
      <c r="Q4" s="34"/>
      <c r="R4" s="34"/>
      <c r="T4" s="34"/>
      <c r="U4" s="34"/>
      <c r="V4" s="34"/>
      <c r="W4" s="33" t="s">
        <v>35</v>
      </c>
      <c r="X4" s="34"/>
      <c r="Y4" s="34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ht="15" x14ac:dyDescent="0.4">
      <c r="A5" s="36" t="s">
        <v>397</v>
      </c>
      <c r="B5" s="36" t="s">
        <v>270</v>
      </c>
      <c r="C5" s="36" t="s">
        <v>452</v>
      </c>
      <c r="D5" s="36" t="s">
        <v>54</v>
      </c>
      <c r="E5" s="36">
        <v>28108</v>
      </c>
      <c r="I5" s="33" t="s">
        <v>37</v>
      </c>
      <c r="J5" s="34"/>
      <c r="K5" s="34"/>
      <c r="L5" s="34"/>
      <c r="M5" s="34"/>
      <c r="O5" s="34"/>
      <c r="P5" s="34"/>
      <c r="Q5" s="34"/>
      <c r="R5" s="34"/>
      <c r="T5" s="34"/>
      <c r="U5" s="34"/>
      <c r="V5" s="34"/>
      <c r="W5" s="33" t="s">
        <v>37</v>
      </c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ht="15" x14ac:dyDescent="0.4">
      <c r="A6" s="36" t="s">
        <v>398</v>
      </c>
      <c r="B6" s="36" t="s">
        <v>270</v>
      </c>
      <c r="C6" s="36" t="s">
        <v>452</v>
      </c>
      <c r="D6" s="36" t="s">
        <v>56</v>
      </c>
      <c r="E6" s="36">
        <v>28108</v>
      </c>
      <c r="H6" s="33"/>
      <c r="I6" s="33" t="s">
        <v>38</v>
      </c>
      <c r="J6" s="34"/>
      <c r="K6" s="34"/>
      <c r="L6" s="34"/>
      <c r="M6" s="34"/>
      <c r="O6" s="34"/>
      <c r="P6" s="34"/>
      <c r="Q6" s="34"/>
      <c r="R6" s="34"/>
      <c r="T6" s="34"/>
      <c r="U6" s="34"/>
      <c r="V6" s="34"/>
      <c r="W6" s="33" t="s">
        <v>38</v>
      </c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ht="15" x14ac:dyDescent="0.4">
      <c r="A7" s="36" t="s">
        <v>399</v>
      </c>
      <c r="B7" s="36" t="s">
        <v>270</v>
      </c>
      <c r="C7" s="36" t="s">
        <v>452</v>
      </c>
      <c r="D7" s="36" t="s">
        <v>56</v>
      </c>
      <c r="E7" s="36">
        <v>28108</v>
      </c>
      <c r="I7" s="33" t="s">
        <v>40</v>
      </c>
      <c r="J7" s="34"/>
      <c r="K7" s="34"/>
      <c r="L7" s="34"/>
      <c r="M7" s="34"/>
      <c r="O7" s="34"/>
      <c r="P7" s="34"/>
      <c r="Q7" s="34"/>
      <c r="R7" s="34"/>
      <c r="T7" s="34"/>
      <c r="U7" s="34"/>
      <c r="V7" s="34"/>
      <c r="W7" s="33" t="s">
        <v>40</v>
      </c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ht="15" x14ac:dyDescent="0.4">
      <c r="A8" s="36" t="s">
        <v>400</v>
      </c>
      <c r="B8" s="36" t="s">
        <v>270</v>
      </c>
      <c r="C8" s="36" t="s">
        <v>452</v>
      </c>
      <c r="D8" s="36" t="s">
        <v>56</v>
      </c>
      <c r="E8" s="36">
        <v>28108</v>
      </c>
      <c r="I8" s="33" t="s">
        <v>42</v>
      </c>
      <c r="J8" s="34"/>
      <c r="K8" s="34"/>
      <c r="L8" s="34"/>
      <c r="M8" s="34"/>
      <c r="O8" s="34"/>
      <c r="P8" s="34"/>
      <c r="Q8" s="33"/>
      <c r="R8" s="34"/>
      <c r="T8" s="34"/>
      <c r="U8" s="34"/>
      <c r="V8" s="34"/>
      <c r="W8" s="33" t="s">
        <v>45</v>
      </c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x14ac:dyDescent="0.35">
      <c r="A9" s="36" t="s">
        <v>401</v>
      </c>
      <c r="B9" s="36" t="s">
        <v>270</v>
      </c>
      <c r="C9" s="36" t="s">
        <v>452</v>
      </c>
      <c r="D9" s="36" t="s">
        <v>56</v>
      </c>
      <c r="E9" s="36">
        <v>28108</v>
      </c>
      <c r="I9" s="34"/>
      <c r="J9" s="34"/>
      <c r="K9" s="34"/>
      <c r="L9" s="34"/>
      <c r="M9" s="34"/>
      <c r="O9" s="34"/>
      <c r="P9" s="34"/>
      <c r="Q9" s="34"/>
      <c r="R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ht="15" x14ac:dyDescent="0.4">
      <c r="A10" s="36" t="s">
        <v>402</v>
      </c>
      <c r="B10" s="36" t="s">
        <v>270</v>
      </c>
      <c r="C10" s="36" t="s">
        <v>452</v>
      </c>
      <c r="D10" s="36" t="s">
        <v>56</v>
      </c>
      <c r="E10" s="36">
        <v>28108</v>
      </c>
      <c r="I10" s="33" t="s">
        <v>46</v>
      </c>
      <c r="J10" s="34"/>
      <c r="K10" s="34"/>
      <c r="L10" s="34"/>
      <c r="M10" s="34"/>
      <c r="O10" s="34"/>
      <c r="P10" s="34"/>
      <c r="Q10" s="34"/>
      <c r="R10" s="34"/>
      <c r="T10" s="34"/>
      <c r="U10" s="34"/>
      <c r="V10" s="34"/>
      <c r="W10" s="37" t="s">
        <v>49</v>
      </c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ht="15" x14ac:dyDescent="0.4">
      <c r="A11" s="36" t="s">
        <v>403</v>
      </c>
      <c r="B11" s="36" t="s">
        <v>270</v>
      </c>
      <c r="C11" s="36" t="s">
        <v>452</v>
      </c>
      <c r="D11" s="36" t="s">
        <v>275</v>
      </c>
      <c r="E11" s="36">
        <v>8908</v>
      </c>
      <c r="I11" s="33"/>
      <c r="J11" s="34"/>
      <c r="K11" s="34"/>
      <c r="L11" s="34"/>
      <c r="M11" s="34"/>
      <c r="O11" s="34"/>
      <c r="P11" s="34"/>
      <c r="Q11" s="34"/>
      <c r="R11" s="34"/>
      <c r="T11" s="34"/>
      <c r="U11" s="34"/>
      <c r="V11" s="34"/>
      <c r="W11" s="37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ht="15" x14ac:dyDescent="0.4">
      <c r="A12" s="36" t="s">
        <v>404</v>
      </c>
      <c r="B12" s="36" t="s">
        <v>270</v>
      </c>
      <c r="C12" s="36" t="s">
        <v>452</v>
      </c>
      <c r="D12" s="36" t="s">
        <v>276</v>
      </c>
      <c r="E12" s="36">
        <v>48960</v>
      </c>
      <c r="I12" s="33" t="s">
        <v>32</v>
      </c>
      <c r="J12" s="34"/>
      <c r="K12" s="38"/>
      <c r="L12" s="34"/>
      <c r="M12" s="34"/>
      <c r="O12" s="34"/>
      <c r="P12" s="34"/>
      <c r="Q12" s="34"/>
      <c r="R12" s="34"/>
      <c r="T12" s="34"/>
      <c r="U12" s="34"/>
      <c r="V12" s="34"/>
      <c r="W12" s="37" t="s">
        <v>52</v>
      </c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ht="15" x14ac:dyDescent="0.4">
      <c r="A13" s="36" t="s">
        <v>405</v>
      </c>
      <c r="B13" s="36" t="s">
        <v>270</v>
      </c>
      <c r="C13" s="36" t="s">
        <v>452</v>
      </c>
      <c r="D13" s="36" t="s">
        <v>56</v>
      </c>
      <c r="E13" s="36">
        <v>28108</v>
      </c>
      <c r="I13" s="33" t="s">
        <v>35</v>
      </c>
      <c r="J13" s="34"/>
      <c r="K13" s="34"/>
      <c r="L13" s="34"/>
      <c r="M13" s="34"/>
      <c r="O13" s="34"/>
      <c r="P13" s="34"/>
      <c r="Q13" s="34"/>
      <c r="R13" s="34"/>
      <c r="T13" s="34"/>
      <c r="U13" s="34"/>
      <c r="V13" s="34"/>
      <c r="W13" s="37" t="s">
        <v>54</v>
      </c>
      <c r="X13" s="34"/>
      <c r="Y13" s="34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ht="15" x14ac:dyDescent="0.4">
      <c r="A14" s="36" t="s">
        <v>406</v>
      </c>
      <c r="B14" s="36" t="s">
        <v>270</v>
      </c>
      <c r="C14" s="36" t="s">
        <v>452</v>
      </c>
      <c r="D14" s="36" t="s">
        <v>56</v>
      </c>
      <c r="E14" s="36">
        <v>28823</v>
      </c>
      <c r="I14" s="33" t="s">
        <v>37</v>
      </c>
      <c r="J14" s="34"/>
      <c r="K14" s="34"/>
      <c r="L14" s="34"/>
      <c r="M14" s="34"/>
      <c r="O14" s="34"/>
      <c r="P14" s="34"/>
      <c r="Q14" s="34"/>
      <c r="R14" s="34"/>
      <c r="T14" s="34"/>
      <c r="U14" s="34"/>
      <c r="V14" s="34"/>
      <c r="W14" s="37" t="s">
        <v>56</v>
      </c>
      <c r="X14" s="34"/>
      <c r="Y14" s="34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ht="15" x14ac:dyDescent="0.4">
      <c r="A15" s="36" t="s">
        <v>407</v>
      </c>
      <c r="B15" s="36" t="s">
        <v>270</v>
      </c>
      <c r="C15" s="36" t="s">
        <v>452</v>
      </c>
      <c r="D15" s="36" t="s">
        <v>56</v>
      </c>
      <c r="E15" s="36">
        <v>28108</v>
      </c>
      <c r="I15" s="33" t="s">
        <v>38</v>
      </c>
      <c r="J15" s="34"/>
      <c r="K15" s="34"/>
      <c r="L15" s="34"/>
      <c r="M15" s="34"/>
      <c r="O15" s="34"/>
      <c r="P15" s="34"/>
      <c r="Q15" s="34"/>
      <c r="R15" s="34"/>
      <c r="T15" s="34"/>
      <c r="U15" s="34"/>
      <c r="V15" s="34"/>
      <c r="W15" s="39">
        <v>28108</v>
      </c>
      <c r="X15" s="34"/>
      <c r="Y15" s="34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ht="15" x14ac:dyDescent="0.4">
      <c r="A16" s="36" t="s">
        <v>408</v>
      </c>
      <c r="B16" s="36" t="s">
        <v>270</v>
      </c>
      <c r="C16" s="36" t="s">
        <v>452</v>
      </c>
      <c r="D16" s="36" t="s">
        <v>56</v>
      </c>
      <c r="E16" s="36">
        <v>28823</v>
      </c>
      <c r="I16" s="33" t="s">
        <v>40</v>
      </c>
      <c r="J16" s="34"/>
      <c r="K16" s="34"/>
      <c r="L16" s="34"/>
      <c r="M16" s="34"/>
      <c r="O16" s="34"/>
      <c r="P16" s="34"/>
      <c r="Q16" s="34"/>
      <c r="R16" s="34"/>
      <c r="T16" s="34"/>
      <c r="U16" s="34"/>
      <c r="V16" s="34"/>
      <c r="W16" s="37" t="s">
        <v>58</v>
      </c>
      <c r="X16" s="34"/>
      <c r="Y16" s="34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ht="15" x14ac:dyDescent="0.4">
      <c r="A17" s="36" t="s">
        <v>409</v>
      </c>
      <c r="B17" s="36" t="s">
        <v>270</v>
      </c>
      <c r="C17" s="36" t="s">
        <v>452</v>
      </c>
      <c r="D17" s="36" t="s">
        <v>56</v>
      </c>
      <c r="E17" s="36">
        <v>28100</v>
      </c>
      <c r="I17" s="33" t="s">
        <v>59</v>
      </c>
      <c r="J17" s="34"/>
      <c r="K17" s="34"/>
      <c r="L17" s="34"/>
      <c r="M17" s="34"/>
      <c r="O17" s="34"/>
      <c r="P17" s="34"/>
      <c r="Q17" s="34"/>
      <c r="R17" s="34"/>
      <c r="T17" s="34"/>
      <c r="U17" s="34"/>
      <c r="V17" s="34"/>
      <c r="W17" s="37" t="s">
        <v>62</v>
      </c>
      <c r="X17" s="34"/>
      <c r="Y17" s="34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x14ac:dyDescent="0.35">
      <c r="A18" s="36" t="s">
        <v>410</v>
      </c>
      <c r="B18" s="36" t="s">
        <v>270</v>
      </c>
      <c r="C18" s="36" t="s">
        <v>452</v>
      </c>
      <c r="D18" s="36" t="s">
        <v>56</v>
      </c>
      <c r="E18" s="36">
        <v>28108</v>
      </c>
      <c r="I18" s="35"/>
      <c r="J18" s="35"/>
      <c r="K18" s="35"/>
      <c r="L18" s="35"/>
      <c r="M18" s="35"/>
      <c r="O18" s="35"/>
      <c r="P18" s="35"/>
      <c r="Q18" s="35"/>
      <c r="R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15" x14ac:dyDescent="0.4">
      <c r="A19" s="36" t="s">
        <v>411</v>
      </c>
      <c r="B19" s="36" t="s">
        <v>270</v>
      </c>
      <c r="C19" s="36" t="s">
        <v>452</v>
      </c>
      <c r="D19" s="36" t="s">
        <v>56</v>
      </c>
      <c r="E19" s="36">
        <v>28108</v>
      </c>
      <c r="I19" s="33" t="s">
        <v>63</v>
      </c>
      <c r="J19" s="35"/>
      <c r="K19" s="35"/>
      <c r="L19" s="35"/>
      <c r="M19" s="35"/>
      <c r="O19" s="35"/>
      <c r="P19" s="35"/>
      <c r="Q19" s="35"/>
      <c r="R19" s="35"/>
      <c r="T19" s="35"/>
      <c r="U19" s="35"/>
      <c r="V19" s="35"/>
      <c r="W19" s="40" t="s">
        <v>66</v>
      </c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15" x14ac:dyDescent="0.4">
      <c r="A20" s="36" t="s">
        <v>412</v>
      </c>
      <c r="B20" s="36" t="s">
        <v>270</v>
      </c>
      <c r="C20" s="36" t="s">
        <v>452</v>
      </c>
      <c r="D20" s="36" t="s">
        <v>56</v>
      </c>
      <c r="E20" s="36">
        <v>28108</v>
      </c>
      <c r="I20" s="33"/>
      <c r="J20" s="35"/>
      <c r="K20" s="35"/>
      <c r="L20" s="35"/>
      <c r="M20" s="35"/>
      <c r="O20" s="35"/>
      <c r="P20" s="35"/>
      <c r="Q20" s="35"/>
      <c r="R20" s="35"/>
      <c r="T20" s="35"/>
      <c r="U20" s="35"/>
      <c r="V20" s="35"/>
      <c r="W20" s="40" t="s">
        <v>67</v>
      </c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15" x14ac:dyDescent="0.4">
      <c r="A21" s="36" t="s">
        <v>413</v>
      </c>
      <c r="B21" s="36" t="s">
        <v>270</v>
      </c>
      <c r="C21" s="36" t="s">
        <v>452</v>
      </c>
      <c r="D21" s="36" t="s">
        <v>56</v>
      </c>
      <c r="E21" s="36">
        <v>28108</v>
      </c>
      <c r="I21" s="33" t="s">
        <v>68</v>
      </c>
      <c r="J21" s="35"/>
      <c r="K21" s="35"/>
      <c r="L21" s="35"/>
      <c r="M21" s="33"/>
      <c r="O21" s="35"/>
      <c r="P21" s="35"/>
      <c r="Q21" s="35"/>
      <c r="R21" s="35"/>
      <c r="T21" s="35"/>
      <c r="U21" s="35"/>
      <c r="V21" s="35"/>
      <c r="W21" s="40" t="s">
        <v>71</v>
      </c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15" x14ac:dyDescent="0.4">
      <c r="A22" s="36" t="s">
        <v>414</v>
      </c>
      <c r="B22" s="36" t="s">
        <v>270</v>
      </c>
      <c r="C22" s="36" t="s">
        <v>452</v>
      </c>
      <c r="D22" s="36" t="s">
        <v>56</v>
      </c>
      <c r="E22" s="36">
        <v>28823</v>
      </c>
      <c r="I22" s="33" t="s">
        <v>72</v>
      </c>
      <c r="J22" s="35"/>
      <c r="K22" s="35"/>
      <c r="L22" s="35"/>
      <c r="M22" s="33"/>
      <c r="O22" s="35"/>
      <c r="P22" s="35"/>
      <c r="Q22" s="35"/>
      <c r="R22" s="35"/>
      <c r="T22" s="35"/>
      <c r="U22" s="35"/>
      <c r="V22" s="35"/>
      <c r="W22" s="40" t="s">
        <v>73</v>
      </c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15" x14ac:dyDescent="0.4">
      <c r="A23" s="36" t="s">
        <v>415</v>
      </c>
      <c r="B23" s="36" t="s">
        <v>270</v>
      </c>
      <c r="C23" s="36" t="s">
        <v>452</v>
      </c>
      <c r="D23" s="36" t="s">
        <v>56</v>
      </c>
      <c r="E23" s="36">
        <v>28023</v>
      </c>
      <c r="I23" s="33" t="s">
        <v>37</v>
      </c>
      <c r="J23" s="35"/>
      <c r="K23" s="35"/>
      <c r="L23" s="35"/>
      <c r="M23" s="33"/>
      <c r="O23" s="35"/>
      <c r="P23" s="35"/>
      <c r="Q23" s="35"/>
      <c r="R23" s="35"/>
      <c r="T23" s="35"/>
      <c r="U23" s="35"/>
      <c r="V23" s="35"/>
      <c r="W23" s="40" t="s">
        <v>75</v>
      </c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15" x14ac:dyDescent="0.4">
      <c r="A24" s="36" t="s">
        <v>416</v>
      </c>
      <c r="B24" s="36" t="s">
        <v>270</v>
      </c>
      <c r="C24" s="36" t="s">
        <v>452</v>
      </c>
      <c r="D24" s="36" t="s">
        <v>56</v>
      </c>
      <c r="E24" s="36">
        <v>28108</v>
      </c>
      <c r="I24" s="33" t="s">
        <v>76</v>
      </c>
      <c r="J24" s="35"/>
      <c r="K24" s="35"/>
      <c r="L24" s="35"/>
      <c r="M24" s="33"/>
      <c r="O24" s="35"/>
      <c r="P24" s="35"/>
      <c r="Q24" s="35"/>
      <c r="R24" s="35"/>
      <c r="T24" s="35"/>
      <c r="U24" s="35"/>
      <c r="V24" s="35"/>
      <c r="W24" s="40" t="s">
        <v>77</v>
      </c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15" x14ac:dyDescent="0.4">
      <c r="A25" s="36" t="s">
        <v>417</v>
      </c>
      <c r="B25" s="36" t="s">
        <v>270</v>
      </c>
      <c r="C25" s="36" t="s">
        <v>452</v>
      </c>
      <c r="D25" s="36" t="s">
        <v>56</v>
      </c>
      <c r="E25" s="36">
        <v>28108</v>
      </c>
      <c r="I25" s="33" t="s">
        <v>40</v>
      </c>
      <c r="J25" s="35"/>
      <c r="K25" s="35"/>
      <c r="L25" s="35"/>
      <c r="M25" s="33"/>
      <c r="O25" s="35"/>
      <c r="P25" s="35"/>
      <c r="Q25" s="35"/>
      <c r="R25" s="35"/>
      <c r="T25" s="35"/>
      <c r="U25" s="35"/>
      <c r="V25" s="35"/>
      <c r="W25" s="40" t="s">
        <v>78</v>
      </c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15" x14ac:dyDescent="0.4">
      <c r="A26" s="36" t="s">
        <v>418</v>
      </c>
      <c r="B26" s="36" t="s">
        <v>270</v>
      </c>
      <c r="C26" s="36" t="s">
        <v>452</v>
      </c>
      <c r="D26" s="36" t="s">
        <v>56</v>
      </c>
      <c r="E26" s="36">
        <v>28108</v>
      </c>
      <c r="I26" s="33" t="s">
        <v>79</v>
      </c>
      <c r="J26" s="35"/>
      <c r="K26" s="35"/>
      <c r="L26" s="35"/>
      <c r="M26" s="33"/>
      <c r="O26" s="35"/>
      <c r="P26" s="35"/>
      <c r="Q26" s="35"/>
      <c r="R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15" x14ac:dyDescent="0.4">
      <c r="A27" s="36" t="s">
        <v>419</v>
      </c>
      <c r="B27" s="36" t="s">
        <v>270</v>
      </c>
      <c r="C27" s="36" t="s">
        <v>452</v>
      </c>
      <c r="D27" s="36" t="s">
        <v>56</v>
      </c>
      <c r="E27" s="36">
        <v>28015</v>
      </c>
      <c r="I27" s="35"/>
      <c r="J27" s="35"/>
      <c r="K27" s="35"/>
      <c r="L27" s="35"/>
      <c r="M27" s="33"/>
      <c r="O27" s="35"/>
      <c r="P27" s="35"/>
      <c r="Q27" s="35"/>
      <c r="R27" s="35"/>
      <c r="S27" s="33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15" x14ac:dyDescent="0.4">
      <c r="A28" s="36" t="s">
        <v>420</v>
      </c>
      <c r="B28" s="36" t="s">
        <v>270</v>
      </c>
      <c r="C28" s="36" t="s">
        <v>452</v>
      </c>
      <c r="D28" s="36" t="s">
        <v>275</v>
      </c>
      <c r="E28" s="36">
        <v>8500</v>
      </c>
      <c r="I28" s="33" t="s">
        <v>82</v>
      </c>
      <c r="J28" s="35"/>
      <c r="K28" s="35"/>
      <c r="L28" s="35"/>
      <c r="M28" s="35"/>
      <c r="O28" s="35"/>
      <c r="P28" s="35"/>
      <c r="Q28" s="35"/>
      <c r="R28" s="41" t="s">
        <v>84</v>
      </c>
      <c r="S28" s="33"/>
      <c r="T28" s="35"/>
      <c r="U28" s="41" t="s">
        <v>85</v>
      </c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15" x14ac:dyDescent="0.4">
      <c r="A29" s="36" t="s">
        <v>421</v>
      </c>
      <c r="B29" s="36" t="s">
        <v>270</v>
      </c>
      <c r="C29" s="36" t="s">
        <v>452</v>
      </c>
      <c r="D29" s="36" t="s">
        <v>56</v>
      </c>
      <c r="E29" s="36">
        <v>28108</v>
      </c>
      <c r="I29" s="33" t="s">
        <v>86</v>
      </c>
      <c r="J29" s="35"/>
      <c r="K29" s="35"/>
      <c r="L29" s="35"/>
      <c r="M29" s="35"/>
      <c r="O29" s="35"/>
      <c r="P29" s="35"/>
      <c r="Q29" s="35"/>
      <c r="R29" s="41"/>
      <c r="S29" s="35"/>
      <c r="T29" s="35"/>
      <c r="U29" s="41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15" x14ac:dyDescent="0.4">
      <c r="A30" s="36" t="s">
        <v>422</v>
      </c>
      <c r="B30" s="36" t="s">
        <v>270</v>
      </c>
      <c r="C30" s="36" t="s">
        <v>452</v>
      </c>
      <c r="D30" s="36" t="s">
        <v>56</v>
      </c>
      <c r="E30" s="36">
        <v>28100</v>
      </c>
      <c r="I30" s="33" t="s">
        <v>87</v>
      </c>
      <c r="J30" s="35"/>
      <c r="K30" s="35"/>
      <c r="L30" s="35"/>
      <c r="M30" s="35"/>
      <c r="O30" s="35"/>
      <c r="P30" s="35"/>
      <c r="Q30" s="35"/>
      <c r="R30" s="41" t="s">
        <v>89</v>
      </c>
      <c r="S30" s="35"/>
      <c r="T30" s="35"/>
      <c r="U30" s="41" t="s">
        <v>90</v>
      </c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15" x14ac:dyDescent="0.4">
      <c r="A31" s="36" t="s">
        <v>423</v>
      </c>
      <c r="B31" s="36" t="s">
        <v>270</v>
      </c>
      <c r="C31" s="36" t="s">
        <v>452</v>
      </c>
      <c r="D31" s="36" t="s">
        <v>56</v>
      </c>
      <c r="E31" s="36">
        <v>28100</v>
      </c>
      <c r="I31" s="33" t="s">
        <v>72</v>
      </c>
      <c r="J31" s="35"/>
      <c r="K31" s="35"/>
      <c r="L31" s="35"/>
      <c r="M31" s="35"/>
      <c r="O31" s="35"/>
      <c r="P31" s="35"/>
      <c r="Q31" s="35"/>
      <c r="R31" s="41" t="s">
        <v>54</v>
      </c>
      <c r="S31" s="35"/>
      <c r="T31" s="35"/>
      <c r="U31" s="41" t="s">
        <v>54</v>
      </c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15" x14ac:dyDescent="0.4">
      <c r="A32" s="36" t="s">
        <v>424</v>
      </c>
      <c r="B32" s="36" t="s">
        <v>270</v>
      </c>
      <c r="C32" s="36" t="s">
        <v>452</v>
      </c>
      <c r="D32" s="36" t="s">
        <v>56</v>
      </c>
      <c r="E32" s="36">
        <v>28100</v>
      </c>
      <c r="I32" s="33" t="s">
        <v>37</v>
      </c>
      <c r="J32" s="35"/>
      <c r="K32" s="35"/>
      <c r="L32" s="35"/>
      <c r="M32" s="35"/>
      <c r="O32" s="35"/>
      <c r="P32" s="35"/>
      <c r="Q32" s="35"/>
      <c r="R32" s="41" t="s">
        <v>56</v>
      </c>
      <c r="S32" s="35"/>
      <c r="T32" s="35"/>
      <c r="U32" s="41" t="s">
        <v>56</v>
      </c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15" x14ac:dyDescent="0.4">
      <c r="A33" s="36" t="s">
        <v>425</v>
      </c>
      <c r="B33" s="36" t="s">
        <v>270</v>
      </c>
      <c r="C33" s="36" t="s">
        <v>452</v>
      </c>
      <c r="D33" s="36" t="s">
        <v>56</v>
      </c>
      <c r="E33" s="36">
        <v>28100</v>
      </c>
      <c r="I33" s="33" t="s">
        <v>38</v>
      </c>
      <c r="J33" s="35"/>
      <c r="K33" s="35"/>
      <c r="L33" s="35"/>
      <c r="M33" s="35"/>
      <c r="O33" s="35"/>
      <c r="P33" s="35"/>
      <c r="Q33" s="35"/>
      <c r="R33" s="41">
        <v>28108</v>
      </c>
      <c r="S33" s="35"/>
      <c r="T33" s="35"/>
      <c r="U33" s="41">
        <v>28108</v>
      </c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15" x14ac:dyDescent="0.4">
      <c r="A34" s="36" t="s">
        <v>426</v>
      </c>
      <c r="B34" s="36" t="s">
        <v>270</v>
      </c>
      <c r="C34" s="36" t="s">
        <v>452</v>
      </c>
      <c r="D34" s="36" t="s">
        <v>56</v>
      </c>
      <c r="E34" s="36">
        <v>28108</v>
      </c>
      <c r="I34" s="33" t="s">
        <v>40</v>
      </c>
      <c r="J34" s="35"/>
      <c r="K34" s="35"/>
      <c r="L34" s="35"/>
      <c r="M34" s="35"/>
      <c r="O34" s="35"/>
      <c r="P34" s="35"/>
      <c r="Q34" s="35"/>
      <c r="R34" s="41" t="s">
        <v>92</v>
      </c>
      <c r="S34" s="35"/>
      <c r="T34" s="35"/>
      <c r="U34" s="41" t="s">
        <v>92</v>
      </c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15" x14ac:dyDescent="0.4">
      <c r="A35" s="36" t="s">
        <v>427</v>
      </c>
      <c r="B35" s="36" t="s">
        <v>270</v>
      </c>
      <c r="C35" s="36" t="s">
        <v>452</v>
      </c>
      <c r="D35" s="36" t="s">
        <v>56</v>
      </c>
      <c r="E35" s="36">
        <v>28108</v>
      </c>
      <c r="I35" s="33" t="s">
        <v>93</v>
      </c>
      <c r="J35" s="35"/>
      <c r="K35" s="35"/>
      <c r="L35" s="35"/>
      <c r="M35" s="35"/>
      <c r="O35" s="35"/>
      <c r="P35" s="35"/>
      <c r="Q35" s="35"/>
      <c r="R35" s="41" t="s">
        <v>95</v>
      </c>
      <c r="S35" s="35"/>
      <c r="T35" s="35"/>
      <c r="U35" s="41" t="s">
        <v>96</v>
      </c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x14ac:dyDescent="0.35">
      <c r="A36" s="36" t="s">
        <v>428</v>
      </c>
      <c r="B36" s="36" t="s">
        <v>270</v>
      </c>
      <c r="C36" s="36" t="s">
        <v>452</v>
      </c>
      <c r="D36" s="36" t="s">
        <v>56</v>
      </c>
      <c r="E36" s="36">
        <v>28108</v>
      </c>
      <c r="I36" s="35"/>
      <c r="J36" s="35"/>
      <c r="K36" s="35"/>
      <c r="L36" s="35"/>
      <c r="M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15" x14ac:dyDescent="0.4">
      <c r="A37" s="36" t="s">
        <v>429</v>
      </c>
      <c r="B37" s="36" t="s">
        <v>270</v>
      </c>
      <c r="C37" s="36" t="s">
        <v>452</v>
      </c>
      <c r="D37" s="36" t="s">
        <v>56</v>
      </c>
      <c r="E37" s="36">
        <v>28040</v>
      </c>
      <c r="I37" s="33" t="s">
        <v>97</v>
      </c>
      <c r="J37" s="35"/>
      <c r="K37" s="35"/>
      <c r="L37" s="35"/>
      <c r="M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15" x14ac:dyDescent="0.4">
      <c r="A38" s="36" t="s">
        <v>430</v>
      </c>
      <c r="B38" s="36" t="s">
        <v>270</v>
      </c>
      <c r="C38" s="36" t="s">
        <v>452</v>
      </c>
      <c r="D38" s="36" t="s">
        <v>56</v>
      </c>
      <c r="E38" s="36">
        <v>28108</v>
      </c>
      <c r="I38" s="33"/>
      <c r="J38" s="35"/>
      <c r="K38" s="35"/>
      <c r="L38" s="35"/>
      <c r="M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15" x14ac:dyDescent="0.4">
      <c r="A39" s="36" t="s">
        <v>431</v>
      </c>
      <c r="B39" s="36" t="s">
        <v>270</v>
      </c>
      <c r="C39" s="36" t="s">
        <v>452</v>
      </c>
      <c r="D39" s="36" t="s">
        <v>275</v>
      </c>
      <c r="E39" s="36">
        <v>8029</v>
      </c>
      <c r="I39" s="33" t="s">
        <v>98</v>
      </c>
      <c r="J39" s="35"/>
      <c r="K39" s="35"/>
      <c r="L39" s="35"/>
      <c r="M39" s="35"/>
      <c r="O39" s="35"/>
      <c r="P39" s="35"/>
      <c r="Q39" s="35"/>
      <c r="R39" s="35"/>
      <c r="S39" s="35"/>
      <c r="T39" s="35"/>
      <c r="U39" s="33" t="s">
        <v>99</v>
      </c>
      <c r="V39" s="34"/>
      <c r="W39" s="34"/>
      <c r="X39" s="34"/>
      <c r="Y39" s="34"/>
      <c r="Z39" s="33" t="s">
        <v>100</v>
      </c>
      <c r="AA39" s="34"/>
      <c r="AB39" s="34"/>
      <c r="AC39" s="34"/>
      <c r="AD39" s="33" t="s">
        <v>101</v>
      </c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15" x14ac:dyDescent="0.4">
      <c r="A40" s="36" t="s">
        <v>432</v>
      </c>
      <c r="B40" s="36" t="s">
        <v>270</v>
      </c>
      <c r="C40" s="36" t="s">
        <v>452</v>
      </c>
      <c r="D40" s="36" t="s">
        <v>56</v>
      </c>
      <c r="E40" s="36">
        <v>28026</v>
      </c>
      <c r="I40" s="33" t="s">
        <v>72</v>
      </c>
      <c r="J40" s="35"/>
      <c r="K40" s="35"/>
      <c r="L40" s="35"/>
      <c r="M40" s="35"/>
      <c r="O40" s="35"/>
      <c r="P40" s="35"/>
      <c r="Q40" s="35"/>
      <c r="R40" s="35"/>
      <c r="S40" s="35"/>
      <c r="T40" s="35"/>
      <c r="U40" s="33"/>
      <c r="V40" s="34"/>
      <c r="W40" s="34"/>
      <c r="X40" s="34"/>
      <c r="Y40" s="34"/>
      <c r="Z40" s="33"/>
      <c r="AA40" s="34"/>
      <c r="AB40" s="34"/>
      <c r="AC40" s="34"/>
      <c r="AD40" s="33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15" x14ac:dyDescent="0.4">
      <c r="A41" s="36" t="s">
        <v>433</v>
      </c>
      <c r="B41" s="36" t="s">
        <v>270</v>
      </c>
      <c r="C41" s="36" t="s">
        <v>452</v>
      </c>
      <c r="D41" s="36" t="s">
        <v>56</v>
      </c>
      <c r="E41" s="36">
        <v>28823</v>
      </c>
      <c r="I41" s="33" t="s">
        <v>37</v>
      </c>
      <c r="J41" s="35"/>
      <c r="K41" s="35"/>
      <c r="L41" s="35"/>
      <c r="M41" s="35"/>
      <c r="O41" s="35"/>
      <c r="P41" s="35"/>
      <c r="Q41" s="35"/>
      <c r="R41" s="35"/>
      <c r="S41" s="35"/>
      <c r="T41" s="35"/>
      <c r="U41" s="33" t="s">
        <v>102</v>
      </c>
      <c r="V41" s="34"/>
      <c r="W41" s="34"/>
      <c r="X41" s="34"/>
      <c r="Y41" s="34"/>
      <c r="Z41" s="33" t="s">
        <v>103</v>
      </c>
      <c r="AA41" s="34"/>
      <c r="AB41" s="34"/>
      <c r="AC41" s="34"/>
      <c r="AD41" s="33" t="s">
        <v>104</v>
      </c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15" x14ac:dyDescent="0.4">
      <c r="A42" s="36" t="s">
        <v>434</v>
      </c>
      <c r="B42" s="36" t="s">
        <v>270</v>
      </c>
      <c r="C42" s="36" t="s">
        <v>452</v>
      </c>
      <c r="D42" s="36" t="s">
        <v>56</v>
      </c>
      <c r="E42" s="36">
        <v>28046</v>
      </c>
      <c r="I42" s="33" t="s">
        <v>38</v>
      </c>
      <c r="J42" s="35"/>
      <c r="K42" s="35"/>
      <c r="L42" s="35"/>
      <c r="M42" s="35"/>
      <c r="O42" s="35"/>
      <c r="P42" s="35"/>
      <c r="Q42" s="35"/>
      <c r="R42" s="35"/>
      <c r="S42" s="35"/>
      <c r="T42" s="35"/>
      <c r="U42" s="33" t="s">
        <v>105</v>
      </c>
      <c r="V42" s="34"/>
      <c r="W42" s="34"/>
      <c r="X42" s="34"/>
      <c r="Y42" s="34"/>
      <c r="Z42" s="33" t="s">
        <v>106</v>
      </c>
      <c r="AA42" s="34"/>
      <c r="AB42" s="34"/>
      <c r="AC42" s="34"/>
      <c r="AD42" s="33" t="s">
        <v>106</v>
      </c>
      <c r="AE42" s="35"/>
      <c r="AF42" s="35"/>
      <c r="AG42" s="35"/>
      <c r="AH42" s="35"/>
      <c r="AI42" s="35"/>
      <c r="AJ42" s="35"/>
      <c r="AK42" s="35"/>
      <c r="AL42" s="35"/>
      <c r="AM42" s="35"/>
    </row>
    <row r="43" spans="1:39" ht="15" x14ac:dyDescent="0.4">
      <c r="A43" s="36" t="s">
        <v>435</v>
      </c>
      <c r="B43" s="36" t="s">
        <v>270</v>
      </c>
      <c r="C43" s="36" t="s">
        <v>452</v>
      </c>
      <c r="D43" s="36" t="s">
        <v>56</v>
      </c>
      <c r="E43" s="36">
        <v>28022</v>
      </c>
      <c r="I43" s="33" t="s">
        <v>40</v>
      </c>
      <c r="J43" s="35"/>
      <c r="K43" s="35"/>
      <c r="L43" s="35"/>
      <c r="M43" s="35"/>
      <c r="O43" s="35"/>
      <c r="P43" s="35"/>
      <c r="Q43" s="35"/>
      <c r="R43" s="35"/>
      <c r="S43" s="35"/>
      <c r="T43" s="35"/>
      <c r="U43" s="33" t="s">
        <v>107</v>
      </c>
      <c r="V43" s="34"/>
      <c r="W43" s="34"/>
      <c r="X43" s="34"/>
      <c r="Y43" s="34"/>
      <c r="Z43" s="33" t="s">
        <v>37</v>
      </c>
      <c r="AA43" s="34"/>
      <c r="AB43" s="34"/>
      <c r="AC43" s="34"/>
      <c r="AD43" s="33" t="s">
        <v>37</v>
      </c>
      <c r="AE43" s="35"/>
      <c r="AF43" s="35"/>
      <c r="AG43" s="35"/>
      <c r="AH43" s="35"/>
      <c r="AI43" s="35"/>
      <c r="AJ43" s="35"/>
      <c r="AK43" s="35"/>
      <c r="AL43" s="35"/>
      <c r="AM43" s="35"/>
    </row>
    <row r="44" spans="1:39" ht="15" x14ac:dyDescent="0.4">
      <c r="A44" s="36" t="s">
        <v>436</v>
      </c>
      <c r="B44" s="36" t="s">
        <v>270</v>
      </c>
      <c r="C44" s="36" t="s">
        <v>452</v>
      </c>
      <c r="D44" s="36" t="s">
        <v>56</v>
      </c>
      <c r="E44" s="36">
        <v>28108</v>
      </c>
      <c r="I44" s="33" t="s">
        <v>108</v>
      </c>
      <c r="J44" s="35"/>
      <c r="K44" s="35"/>
      <c r="L44" s="35"/>
      <c r="M44" s="35"/>
      <c r="O44" s="35"/>
      <c r="P44" s="35"/>
      <c r="Q44" s="35"/>
      <c r="R44" s="35"/>
      <c r="S44" s="35"/>
      <c r="T44" s="35"/>
      <c r="U44" s="33" t="s">
        <v>109</v>
      </c>
      <c r="V44" s="34"/>
      <c r="W44" s="34"/>
      <c r="X44" s="34"/>
      <c r="Y44" s="34"/>
      <c r="Z44" s="33" t="s">
        <v>110</v>
      </c>
      <c r="AA44" s="34"/>
      <c r="AB44" s="34"/>
      <c r="AC44" s="34"/>
      <c r="AD44" s="33" t="s">
        <v>111</v>
      </c>
      <c r="AE44" s="35"/>
      <c r="AF44" s="35"/>
      <c r="AG44" s="35"/>
      <c r="AH44" s="35"/>
      <c r="AI44" s="35"/>
      <c r="AJ44" s="35"/>
      <c r="AK44" s="35"/>
      <c r="AL44" s="35"/>
      <c r="AM44" s="35"/>
    </row>
    <row r="45" spans="1:39" ht="15" x14ac:dyDescent="0.4">
      <c r="A45" s="36" t="s">
        <v>437</v>
      </c>
      <c r="B45" s="36" t="s">
        <v>270</v>
      </c>
      <c r="C45" s="36" t="s">
        <v>452</v>
      </c>
      <c r="D45" s="36" t="s">
        <v>56</v>
      </c>
      <c r="E45" s="36">
        <v>28108</v>
      </c>
      <c r="I45" s="35"/>
      <c r="J45" s="35"/>
      <c r="K45" s="35"/>
      <c r="L45" s="35"/>
      <c r="M45" s="35"/>
      <c r="O45" s="35"/>
      <c r="P45" s="35"/>
      <c r="Q45" s="35"/>
      <c r="R45" s="35"/>
      <c r="S45" s="35"/>
      <c r="T45" s="35"/>
      <c r="U45" s="33" t="s">
        <v>40</v>
      </c>
      <c r="V45" s="34"/>
      <c r="W45" s="34"/>
      <c r="X45" s="34"/>
      <c r="Y45" s="34"/>
      <c r="Z45" s="33" t="s">
        <v>40</v>
      </c>
      <c r="AA45" s="34"/>
      <c r="AB45" s="34"/>
      <c r="AC45" s="34"/>
      <c r="AD45" s="33" t="s">
        <v>40</v>
      </c>
      <c r="AE45" s="35"/>
      <c r="AF45" s="35"/>
      <c r="AG45" s="35"/>
      <c r="AH45" s="35"/>
      <c r="AI45" s="35"/>
      <c r="AJ45" s="35"/>
      <c r="AK45" s="35"/>
      <c r="AL45" s="35"/>
      <c r="AM45" s="35"/>
    </row>
    <row r="46" spans="1:39" ht="15" x14ac:dyDescent="0.4">
      <c r="A46" s="36" t="s">
        <v>438</v>
      </c>
      <c r="B46" s="36" t="s">
        <v>270</v>
      </c>
      <c r="C46" s="36" t="s">
        <v>452</v>
      </c>
      <c r="D46" s="36" t="s">
        <v>274</v>
      </c>
      <c r="E46" s="36">
        <v>19208</v>
      </c>
      <c r="I46" s="33" t="s">
        <v>112</v>
      </c>
      <c r="J46" s="34"/>
      <c r="K46" s="34"/>
      <c r="L46" s="34"/>
      <c r="M46" s="34"/>
      <c r="O46" s="34"/>
      <c r="P46" s="34"/>
      <c r="Q46" s="34"/>
      <c r="R46" s="33" t="s">
        <v>114</v>
      </c>
      <c r="S46" s="33"/>
      <c r="T46" s="35"/>
      <c r="U46" s="33" t="s">
        <v>115</v>
      </c>
      <c r="V46" s="34"/>
      <c r="W46" s="34"/>
      <c r="X46" s="34"/>
      <c r="Y46" s="34"/>
      <c r="Z46" s="33" t="s">
        <v>116</v>
      </c>
      <c r="AA46" s="34"/>
      <c r="AB46" s="34"/>
      <c r="AC46" s="34"/>
      <c r="AD46" s="33" t="s">
        <v>117</v>
      </c>
      <c r="AE46" s="35"/>
      <c r="AF46" s="35"/>
      <c r="AG46" s="35"/>
      <c r="AH46" s="35"/>
      <c r="AI46" s="35"/>
      <c r="AJ46" s="35"/>
      <c r="AK46" s="35"/>
      <c r="AL46" s="35"/>
      <c r="AM46" s="35"/>
    </row>
    <row r="47" spans="1:39" ht="15" x14ac:dyDescent="0.4">
      <c r="A47" s="36" t="s">
        <v>439</v>
      </c>
      <c r="B47" s="36" t="s">
        <v>270</v>
      </c>
      <c r="C47" s="36" t="s">
        <v>452</v>
      </c>
      <c r="D47" s="36" t="s">
        <v>56</v>
      </c>
      <c r="E47" s="36">
        <v>28108</v>
      </c>
      <c r="I47" s="33"/>
      <c r="J47" s="34"/>
      <c r="K47" s="34"/>
      <c r="L47" s="34"/>
      <c r="M47" s="34"/>
      <c r="O47" s="34"/>
      <c r="P47" s="34"/>
      <c r="Q47" s="34"/>
      <c r="R47" s="33"/>
      <c r="S47" s="34"/>
      <c r="T47" s="35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5"/>
      <c r="AF47" s="35"/>
      <c r="AG47" s="35"/>
      <c r="AH47" s="35"/>
      <c r="AI47" s="35"/>
      <c r="AJ47" s="35"/>
      <c r="AK47" s="35"/>
      <c r="AL47" s="35"/>
      <c r="AM47" s="35"/>
    </row>
    <row r="48" spans="1:39" ht="15" x14ac:dyDescent="0.4">
      <c r="A48" s="36" t="s">
        <v>440</v>
      </c>
      <c r="B48" s="36" t="s">
        <v>270</v>
      </c>
      <c r="C48" s="36" t="s">
        <v>452</v>
      </c>
      <c r="D48" s="36" t="s">
        <v>37</v>
      </c>
      <c r="E48" s="36" t="s">
        <v>38</v>
      </c>
      <c r="I48" s="33" t="s">
        <v>118</v>
      </c>
      <c r="J48" s="34"/>
      <c r="K48" s="34"/>
      <c r="L48" s="34"/>
      <c r="M48" s="34"/>
      <c r="O48" s="34"/>
      <c r="P48" s="34"/>
      <c r="Q48" s="34"/>
      <c r="R48" s="33" t="s">
        <v>120</v>
      </c>
      <c r="S48" s="33"/>
      <c r="T48" s="35"/>
      <c r="U48" s="33" t="s">
        <v>121</v>
      </c>
      <c r="V48" s="34"/>
      <c r="W48" s="34"/>
      <c r="X48" s="34"/>
      <c r="Y48" s="34"/>
      <c r="Z48" s="33" t="s">
        <v>122</v>
      </c>
      <c r="AA48" s="34"/>
      <c r="AB48" s="34"/>
      <c r="AC48" s="34"/>
      <c r="AD48" s="33" t="s">
        <v>123</v>
      </c>
      <c r="AE48" s="35"/>
      <c r="AF48" s="35"/>
      <c r="AG48" s="35"/>
      <c r="AH48" s="35"/>
      <c r="AI48" s="35"/>
      <c r="AJ48" s="35"/>
      <c r="AK48" s="35"/>
      <c r="AL48" s="35"/>
      <c r="AM48" s="35"/>
    </row>
    <row r="49" spans="1:39" ht="15" x14ac:dyDescent="0.4">
      <c r="A49" s="36" t="s">
        <v>441</v>
      </c>
      <c r="B49" s="36" t="s">
        <v>270</v>
      </c>
      <c r="C49" s="36" t="s">
        <v>452</v>
      </c>
      <c r="D49" s="36" t="s">
        <v>56</v>
      </c>
      <c r="E49" s="36">
        <v>28108</v>
      </c>
      <c r="I49" s="33" t="s">
        <v>35</v>
      </c>
      <c r="J49" s="34"/>
      <c r="K49" s="34"/>
      <c r="L49" s="34"/>
      <c r="M49" s="34"/>
      <c r="O49" s="34"/>
      <c r="P49" s="34"/>
      <c r="Q49" s="34"/>
      <c r="R49" s="33" t="s">
        <v>35</v>
      </c>
      <c r="S49" s="33"/>
      <c r="T49" s="35"/>
      <c r="U49" s="33"/>
      <c r="V49" s="34"/>
      <c r="W49" s="34"/>
      <c r="X49" s="34"/>
      <c r="Y49" s="34"/>
      <c r="Z49" s="33"/>
      <c r="AA49" s="34"/>
      <c r="AB49" s="34"/>
      <c r="AC49" s="34"/>
      <c r="AD49" s="33"/>
      <c r="AE49" s="35"/>
      <c r="AF49" s="35"/>
      <c r="AG49" s="35"/>
      <c r="AH49" s="35"/>
      <c r="AI49" s="35"/>
      <c r="AJ49" s="35"/>
      <c r="AK49" s="35"/>
      <c r="AL49" s="35"/>
      <c r="AM49" s="35"/>
    </row>
    <row r="50" spans="1:39" ht="15" x14ac:dyDescent="0.4">
      <c r="A50" s="36" t="s">
        <v>442</v>
      </c>
      <c r="B50" s="36" t="s">
        <v>270</v>
      </c>
      <c r="C50" s="36" t="s">
        <v>452</v>
      </c>
      <c r="D50" s="36" t="s">
        <v>56</v>
      </c>
      <c r="E50" s="36">
        <v>28108</v>
      </c>
      <c r="I50" s="33" t="s">
        <v>37</v>
      </c>
      <c r="J50" s="34"/>
      <c r="K50" s="34"/>
      <c r="L50" s="34"/>
      <c r="M50" s="34"/>
      <c r="O50" s="34"/>
      <c r="P50" s="34"/>
      <c r="Q50" s="34"/>
      <c r="R50" s="33" t="s">
        <v>37</v>
      </c>
      <c r="S50" s="33"/>
      <c r="T50" s="35"/>
      <c r="U50" s="33" t="s">
        <v>124</v>
      </c>
      <c r="V50" s="35"/>
      <c r="W50" s="35"/>
      <c r="X50" s="35"/>
      <c r="Y50" s="35"/>
      <c r="Z50" s="33" t="s">
        <v>125</v>
      </c>
      <c r="AA50" s="35"/>
      <c r="AB50" s="35"/>
      <c r="AC50" s="35"/>
      <c r="AD50" s="33" t="s">
        <v>126</v>
      </c>
      <c r="AE50" s="35"/>
      <c r="AF50" s="35"/>
      <c r="AG50" s="35"/>
      <c r="AH50" s="35"/>
      <c r="AI50" s="35"/>
      <c r="AJ50" s="35"/>
      <c r="AK50" s="35"/>
      <c r="AL50" s="35"/>
      <c r="AM50" s="35"/>
    </row>
    <row r="51" spans="1:39" ht="15" x14ac:dyDescent="0.4">
      <c r="A51" s="36" t="s">
        <v>443</v>
      </c>
      <c r="B51" s="36" t="s">
        <v>270</v>
      </c>
      <c r="C51" s="36" t="s">
        <v>452</v>
      </c>
      <c r="D51" s="36" t="s">
        <v>56</v>
      </c>
      <c r="E51" s="36">
        <v>28100</v>
      </c>
      <c r="I51" s="33" t="s">
        <v>38</v>
      </c>
      <c r="J51" s="34"/>
      <c r="K51" s="34"/>
      <c r="L51" s="34"/>
      <c r="M51" s="34"/>
      <c r="O51" s="34"/>
      <c r="P51" s="34"/>
      <c r="Q51" s="34"/>
      <c r="R51" s="33" t="s">
        <v>38</v>
      </c>
      <c r="S51" s="33"/>
      <c r="T51" s="35"/>
      <c r="U51" s="33" t="s">
        <v>106</v>
      </c>
      <c r="V51" s="35"/>
      <c r="W51" s="35"/>
      <c r="X51" s="35"/>
      <c r="Y51" s="35"/>
      <c r="Z51" s="33" t="s">
        <v>127</v>
      </c>
      <c r="AA51" s="35"/>
      <c r="AB51" s="35"/>
      <c r="AC51" s="35"/>
      <c r="AD51" s="33" t="s">
        <v>128</v>
      </c>
      <c r="AE51" s="35"/>
      <c r="AF51" s="35"/>
      <c r="AG51" s="35"/>
      <c r="AH51" s="35"/>
      <c r="AI51" s="35"/>
      <c r="AJ51" s="35"/>
      <c r="AK51" s="35"/>
      <c r="AL51" s="35"/>
      <c r="AM51" s="35"/>
    </row>
    <row r="52" spans="1:39" ht="15" x14ac:dyDescent="0.4">
      <c r="A52" s="36" t="s">
        <v>444</v>
      </c>
      <c r="B52" s="36" t="s">
        <v>270</v>
      </c>
      <c r="C52" s="36" t="s">
        <v>452</v>
      </c>
      <c r="D52" s="36" t="s">
        <v>56</v>
      </c>
      <c r="E52" s="36">
        <v>28108</v>
      </c>
      <c r="I52" s="33" t="s">
        <v>40</v>
      </c>
      <c r="J52" s="34"/>
      <c r="K52" s="34"/>
      <c r="L52" s="34"/>
      <c r="M52" s="34"/>
      <c r="O52" s="34"/>
      <c r="P52" s="34"/>
      <c r="Q52" s="34"/>
      <c r="R52" s="33" t="s">
        <v>40</v>
      </c>
      <c r="S52" s="33"/>
      <c r="T52" s="35"/>
      <c r="U52" s="33" t="s">
        <v>37</v>
      </c>
      <c r="V52" s="35"/>
      <c r="W52" s="35"/>
      <c r="X52" s="35"/>
      <c r="Y52" s="35"/>
      <c r="Z52" s="33" t="s">
        <v>37</v>
      </c>
      <c r="AA52" s="35"/>
      <c r="AB52" s="35"/>
      <c r="AC52" s="35"/>
      <c r="AD52" s="33" t="s">
        <v>37</v>
      </c>
      <c r="AE52" s="35"/>
      <c r="AF52" s="35"/>
      <c r="AG52" s="35"/>
      <c r="AH52" s="35"/>
      <c r="AI52" s="35"/>
      <c r="AJ52" s="35"/>
      <c r="AK52" s="35"/>
      <c r="AL52" s="35"/>
      <c r="AM52" s="35"/>
    </row>
    <row r="53" spans="1:39" ht="15" x14ac:dyDescent="0.4">
      <c r="A53" s="36" t="s">
        <v>445</v>
      </c>
      <c r="B53" s="36" t="s">
        <v>270</v>
      </c>
      <c r="C53" s="36" t="s">
        <v>452</v>
      </c>
      <c r="D53" s="36" t="s">
        <v>56</v>
      </c>
      <c r="E53" s="36">
        <v>28823</v>
      </c>
      <c r="I53" s="33" t="s">
        <v>129</v>
      </c>
      <c r="J53" s="34"/>
      <c r="K53" s="34"/>
      <c r="L53" s="34"/>
      <c r="M53" s="34"/>
      <c r="O53" s="34"/>
      <c r="P53" s="34"/>
      <c r="Q53" s="34"/>
      <c r="R53" s="33" t="s">
        <v>131</v>
      </c>
      <c r="S53" s="33"/>
      <c r="T53" s="35"/>
      <c r="U53" s="33" t="s">
        <v>110</v>
      </c>
      <c r="V53" s="35"/>
      <c r="W53" s="35"/>
      <c r="X53" s="35"/>
      <c r="Y53" s="35"/>
      <c r="Z53" s="33" t="s">
        <v>132</v>
      </c>
      <c r="AA53" s="35"/>
      <c r="AB53" s="35"/>
      <c r="AC53" s="35"/>
      <c r="AD53" s="33" t="s">
        <v>133</v>
      </c>
      <c r="AE53" s="35"/>
      <c r="AF53" s="35"/>
      <c r="AG53" s="35"/>
      <c r="AH53" s="35"/>
      <c r="AI53" s="35"/>
      <c r="AJ53" s="35"/>
      <c r="AK53" s="35"/>
      <c r="AL53" s="35"/>
      <c r="AM53" s="35"/>
    </row>
    <row r="54" spans="1:39" ht="15" x14ac:dyDescent="0.4">
      <c r="A54" s="36" t="s">
        <v>446</v>
      </c>
      <c r="B54" s="36" t="s">
        <v>270</v>
      </c>
      <c r="C54" s="36" t="s">
        <v>452</v>
      </c>
      <c r="D54" s="36" t="s">
        <v>56</v>
      </c>
      <c r="E54" s="36">
        <v>28108</v>
      </c>
      <c r="I54" s="34"/>
      <c r="J54" s="34"/>
      <c r="K54" s="34"/>
      <c r="L54" s="34"/>
      <c r="M54" s="34"/>
      <c r="O54" s="34"/>
      <c r="P54" s="34"/>
      <c r="Q54" s="34"/>
      <c r="R54" s="34"/>
      <c r="S54" s="34"/>
      <c r="T54" s="35"/>
      <c r="U54" s="33" t="s">
        <v>40</v>
      </c>
      <c r="V54" s="35"/>
      <c r="W54" s="35"/>
      <c r="X54" s="35"/>
      <c r="Y54" s="35"/>
      <c r="Z54" s="33" t="s">
        <v>40</v>
      </c>
      <c r="AA54" s="35"/>
      <c r="AB54" s="35"/>
      <c r="AC54" s="35"/>
      <c r="AD54" s="33" t="s">
        <v>40</v>
      </c>
      <c r="AE54" s="35"/>
      <c r="AF54" s="35"/>
      <c r="AG54" s="35"/>
      <c r="AH54" s="35"/>
      <c r="AI54" s="35"/>
      <c r="AJ54" s="35"/>
      <c r="AK54" s="35"/>
      <c r="AL54" s="35"/>
      <c r="AM54" s="35"/>
    </row>
    <row r="55" spans="1:39" ht="15" x14ac:dyDescent="0.4">
      <c r="A55" s="36" t="s">
        <v>447</v>
      </c>
      <c r="B55" s="36" t="s">
        <v>270</v>
      </c>
      <c r="C55" s="36" t="s">
        <v>452</v>
      </c>
      <c r="D55" s="36" t="s">
        <v>56</v>
      </c>
      <c r="E55" s="36">
        <v>28500</v>
      </c>
      <c r="I55" s="33" t="s">
        <v>134</v>
      </c>
      <c r="J55" s="34"/>
      <c r="K55" s="34"/>
      <c r="L55" s="34"/>
      <c r="M55" s="34"/>
      <c r="O55" s="34"/>
      <c r="P55" s="34"/>
      <c r="Q55" s="34"/>
      <c r="R55" s="33" t="s">
        <v>136</v>
      </c>
      <c r="S55" s="33"/>
      <c r="T55" s="35"/>
      <c r="U55" s="33" t="s">
        <v>137</v>
      </c>
      <c r="V55" s="35"/>
      <c r="W55" s="35"/>
      <c r="X55" s="35"/>
      <c r="Y55" s="35"/>
      <c r="Z55" s="33" t="s">
        <v>138</v>
      </c>
      <c r="AA55" s="35"/>
      <c r="AB55" s="35"/>
      <c r="AC55" s="35"/>
      <c r="AD55" s="33" t="s">
        <v>139</v>
      </c>
      <c r="AE55" s="35"/>
      <c r="AF55" s="35"/>
      <c r="AG55" s="35"/>
      <c r="AH55" s="35"/>
      <c r="AI55" s="35"/>
      <c r="AJ55" s="35"/>
      <c r="AK55" s="35"/>
      <c r="AL55" s="35"/>
      <c r="AM55" s="35"/>
    </row>
    <row r="56" spans="1:39" ht="15" x14ac:dyDescent="0.4">
      <c r="A56" s="36" t="s">
        <v>448</v>
      </c>
      <c r="B56" s="36" t="s">
        <v>270</v>
      </c>
      <c r="C56" s="36" t="s">
        <v>452</v>
      </c>
      <c r="D56" s="36" t="s">
        <v>56</v>
      </c>
      <c r="E56" s="36">
        <v>28108</v>
      </c>
      <c r="I56" s="33"/>
      <c r="J56" s="34"/>
      <c r="K56" s="34"/>
      <c r="L56" s="34"/>
      <c r="M56" s="34"/>
      <c r="O56" s="34"/>
      <c r="P56" s="34"/>
      <c r="Q56" s="34"/>
      <c r="R56" s="33"/>
      <c r="S56" s="33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</row>
    <row r="57" spans="1:39" ht="15" x14ac:dyDescent="0.4">
      <c r="A57" s="36" t="s">
        <v>449</v>
      </c>
      <c r="B57" s="36" t="s">
        <v>270</v>
      </c>
      <c r="C57" s="36" t="s">
        <v>452</v>
      </c>
      <c r="D57" s="36" t="s">
        <v>56</v>
      </c>
      <c r="E57" s="36">
        <v>28108</v>
      </c>
      <c r="I57" s="33" t="s">
        <v>119</v>
      </c>
      <c r="J57" s="34"/>
      <c r="K57" s="34"/>
      <c r="L57" s="34"/>
      <c r="M57" s="34"/>
      <c r="O57" s="34"/>
      <c r="P57" s="34"/>
      <c r="Q57" s="34"/>
      <c r="R57" s="33" t="s">
        <v>141</v>
      </c>
      <c r="S57" s="33"/>
      <c r="T57" s="35"/>
      <c r="U57" s="33" t="s">
        <v>142</v>
      </c>
      <c r="V57" s="35"/>
      <c r="W57" s="35"/>
      <c r="X57" s="35"/>
      <c r="Y57" s="35"/>
      <c r="Z57" s="33" t="s">
        <v>143</v>
      </c>
      <c r="AA57" s="35"/>
      <c r="AB57" s="35"/>
      <c r="AC57" s="35"/>
      <c r="AD57" s="41" t="s">
        <v>144</v>
      </c>
      <c r="AE57" s="35"/>
      <c r="AF57" s="35"/>
      <c r="AG57" s="35"/>
      <c r="AH57" s="35"/>
      <c r="AI57" s="35"/>
      <c r="AJ57" s="35"/>
      <c r="AK57" s="35"/>
      <c r="AL57" s="35"/>
      <c r="AM57" s="35"/>
    </row>
    <row r="58" spans="1:39" ht="15" x14ac:dyDescent="0.4">
      <c r="A58" s="36" t="s">
        <v>450</v>
      </c>
      <c r="B58" s="36" t="s">
        <v>270</v>
      </c>
      <c r="C58" s="36" t="s">
        <v>452</v>
      </c>
      <c r="D58" s="36" t="s">
        <v>56</v>
      </c>
      <c r="E58" s="36">
        <v>28108</v>
      </c>
      <c r="I58" s="33" t="s">
        <v>35</v>
      </c>
      <c r="J58" s="34"/>
      <c r="K58" s="34"/>
      <c r="L58" s="34"/>
      <c r="M58" s="34"/>
      <c r="O58" s="34"/>
      <c r="P58" s="34"/>
      <c r="Q58" s="34"/>
      <c r="R58" s="33" t="s">
        <v>35</v>
      </c>
      <c r="S58" s="33"/>
      <c r="T58" s="35"/>
      <c r="U58" s="33"/>
      <c r="V58" s="35"/>
      <c r="W58" s="35"/>
      <c r="X58" s="35"/>
      <c r="Y58" s="35"/>
      <c r="Z58" s="33"/>
      <c r="AA58" s="35"/>
      <c r="AB58" s="35"/>
      <c r="AC58" s="35"/>
      <c r="AD58" s="41"/>
      <c r="AE58" s="35"/>
      <c r="AF58" s="35"/>
      <c r="AG58" s="35"/>
      <c r="AH58" s="35"/>
      <c r="AI58" s="35"/>
      <c r="AJ58" s="35"/>
      <c r="AK58" s="35"/>
      <c r="AL58" s="35"/>
      <c r="AM58" s="35"/>
    </row>
    <row r="59" spans="1:39" ht="15" x14ac:dyDescent="0.4">
      <c r="A59" s="36" t="s">
        <v>86</v>
      </c>
      <c r="B59" s="36" t="s">
        <v>270</v>
      </c>
      <c r="C59" s="36" t="s">
        <v>452</v>
      </c>
      <c r="D59" s="36" t="s">
        <v>56</v>
      </c>
      <c r="E59" s="36">
        <v>28108</v>
      </c>
      <c r="I59" s="33" t="s">
        <v>37</v>
      </c>
      <c r="J59" s="34"/>
      <c r="K59" s="34"/>
      <c r="L59" s="34"/>
      <c r="M59" s="34"/>
      <c r="O59" s="34"/>
      <c r="P59" s="34"/>
      <c r="Q59" s="34"/>
      <c r="R59" s="33" t="s">
        <v>37</v>
      </c>
      <c r="S59" s="33"/>
      <c r="T59" s="35"/>
      <c r="U59" s="33" t="s">
        <v>145</v>
      </c>
      <c r="V59" s="35"/>
      <c r="W59" s="35"/>
      <c r="X59" s="35"/>
      <c r="Y59" s="35"/>
      <c r="Z59" s="33" t="s">
        <v>146</v>
      </c>
      <c r="AA59" s="35"/>
      <c r="AB59" s="35"/>
      <c r="AC59" s="35"/>
      <c r="AD59" s="41" t="s">
        <v>147</v>
      </c>
      <c r="AE59" s="35"/>
      <c r="AF59" s="35"/>
      <c r="AG59" s="35"/>
      <c r="AH59" s="35"/>
      <c r="AI59" s="35"/>
      <c r="AJ59" s="35"/>
      <c r="AK59" s="35"/>
      <c r="AL59" s="35"/>
      <c r="AM59" s="35"/>
    </row>
    <row r="60" spans="1:39" ht="15" x14ac:dyDescent="0.4">
      <c r="I60" s="33" t="s">
        <v>38</v>
      </c>
      <c r="J60" s="34"/>
      <c r="K60" s="34"/>
      <c r="L60" s="34"/>
      <c r="M60" s="34"/>
      <c r="O60" s="34"/>
      <c r="P60" s="34"/>
      <c r="Q60" s="34"/>
      <c r="R60" s="33" t="s">
        <v>38</v>
      </c>
      <c r="S60" s="33"/>
      <c r="T60" s="35"/>
      <c r="U60" s="33" t="s">
        <v>106</v>
      </c>
      <c r="V60" s="35"/>
      <c r="W60" s="35"/>
      <c r="X60" s="35"/>
      <c r="Y60" s="35"/>
      <c r="Z60" s="33" t="s">
        <v>106</v>
      </c>
      <c r="AA60" s="35"/>
      <c r="AB60" s="35"/>
      <c r="AC60" s="35"/>
      <c r="AD60" s="41" t="s">
        <v>148</v>
      </c>
      <c r="AE60" s="35"/>
      <c r="AF60" s="35"/>
      <c r="AG60" s="35"/>
      <c r="AH60" s="35"/>
      <c r="AI60" s="35"/>
      <c r="AJ60" s="35"/>
      <c r="AK60" s="35"/>
      <c r="AL60" s="35"/>
      <c r="AM60" s="35"/>
    </row>
    <row r="61" spans="1:39" ht="15" x14ac:dyDescent="0.4">
      <c r="I61" s="33" t="s">
        <v>40</v>
      </c>
      <c r="J61" s="34"/>
      <c r="K61" s="34"/>
      <c r="L61" s="34"/>
      <c r="M61" s="34"/>
      <c r="O61" s="34"/>
      <c r="P61" s="34"/>
      <c r="Q61" s="34"/>
      <c r="R61" s="33" t="s">
        <v>40</v>
      </c>
      <c r="S61" s="33"/>
      <c r="T61" s="35"/>
      <c r="U61" s="33" t="s">
        <v>37</v>
      </c>
      <c r="V61" s="35"/>
      <c r="W61" s="35"/>
      <c r="X61" s="35"/>
      <c r="Y61" s="35"/>
      <c r="Z61" s="33" t="s">
        <v>37</v>
      </c>
      <c r="AA61" s="35"/>
      <c r="AB61" s="35"/>
      <c r="AC61" s="35"/>
      <c r="AD61" s="41" t="s">
        <v>56</v>
      </c>
      <c r="AE61" s="35"/>
      <c r="AF61" s="35"/>
      <c r="AG61" s="35"/>
      <c r="AH61" s="35"/>
      <c r="AI61" s="35"/>
      <c r="AJ61" s="35"/>
      <c r="AK61" s="35"/>
      <c r="AL61" s="35"/>
      <c r="AM61" s="35"/>
    </row>
    <row r="62" spans="1:39" ht="15" x14ac:dyDescent="0.4">
      <c r="I62" s="33" t="s">
        <v>149</v>
      </c>
      <c r="J62" s="34"/>
      <c r="K62" s="34"/>
      <c r="L62" s="34"/>
      <c r="M62" s="34"/>
      <c r="O62" s="34"/>
      <c r="P62" s="34"/>
      <c r="Q62" s="34"/>
      <c r="R62" s="33" t="s">
        <v>151</v>
      </c>
      <c r="S62" s="33"/>
      <c r="T62" s="35"/>
      <c r="U62" s="33" t="s">
        <v>110</v>
      </c>
      <c r="V62" s="35"/>
      <c r="W62" s="35"/>
      <c r="X62" s="35"/>
      <c r="Y62" s="35"/>
      <c r="Z62" s="33" t="s">
        <v>110</v>
      </c>
      <c r="AA62" s="35"/>
      <c r="AB62" s="35"/>
      <c r="AC62" s="35"/>
      <c r="AD62" s="41">
        <v>28823</v>
      </c>
      <c r="AE62" s="35"/>
      <c r="AF62" s="35"/>
      <c r="AG62" s="35"/>
      <c r="AH62" s="35"/>
      <c r="AI62" s="35"/>
      <c r="AJ62" s="35"/>
      <c r="AK62" s="35"/>
      <c r="AL62" s="35"/>
      <c r="AM62" s="35"/>
    </row>
    <row r="63" spans="1:39" ht="15" x14ac:dyDescent="0.4">
      <c r="I63" s="35"/>
      <c r="J63" s="35"/>
      <c r="K63" s="35"/>
      <c r="L63" s="35"/>
      <c r="M63" s="35"/>
      <c r="O63" s="35"/>
      <c r="P63" s="35"/>
      <c r="Q63" s="35"/>
      <c r="R63" s="35"/>
      <c r="S63" s="35"/>
      <c r="T63" s="35"/>
      <c r="U63" s="33" t="s">
        <v>40</v>
      </c>
      <c r="V63" s="35"/>
      <c r="W63" s="35"/>
      <c r="X63" s="35"/>
      <c r="Y63" s="35"/>
      <c r="Z63" s="33" t="s">
        <v>40</v>
      </c>
      <c r="AA63" s="35"/>
      <c r="AB63" s="35"/>
      <c r="AC63" s="35"/>
      <c r="AD63" s="41" t="s">
        <v>152</v>
      </c>
      <c r="AE63" s="35"/>
      <c r="AF63" s="35"/>
      <c r="AG63" s="35"/>
      <c r="AH63" s="35"/>
      <c r="AI63" s="35"/>
      <c r="AJ63" s="35"/>
      <c r="AK63" s="35"/>
      <c r="AL63" s="35"/>
      <c r="AM63" s="35"/>
    </row>
    <row r="64" spans="1:39" ht="15" x14ac:dyDescent="0.4">
      <c r="I64" s="33" t="s">
        <v>153</v>
      </c>
      <c r="J64" s="35"/>
      <c r="K64" s="35"/>
      <c r="L64" s="35"/>
      <c r="M64" s="35"/>
      <c r="O64" s="35"/>
      <c r="P64" s="35"/>
      <c r="Q64" s="35"/>
      <c r="R64" s="33" t="s">
        <v>155</v>
      </c>
      <c r="S64" s="35"/>
      <c r="T64" s="35"/>
      <c r="U64" s="33" t="s">
        <v>156</v>
      </c>
      <c r="V64" s="35"/>
      <c r="W64" s="35"/>
      <c r="X64" s="35"/>
      <c r="Y64" s="35"/>
      <c r="Z64" s="33" t="s">
        <v>157</v>
      </c>
      <c r="AA64" s="35"/>
      <c r="AB64" s="35"/>
      <c r="AC64" s="35"/>
      <c r="AD64" s="41" t="s">
        <v>158</v>
      </c>
      <c r="AE64" s="35"/>
      <c r="AF64" s="35"/>
      <c r="AG64" s="35"/>
      <c r="AH64" s="35"/>
      <c r="AI64" s="35"/>
      <c r="AJ64" s="35"/>
      <c r="AK64" s="35"/>
      <c r="AL64" s="35"/>
      <c r="AM64" s="35"/>
    </row>
    <row r="65" spans="9:39" ht="15" x14ac:dyDescent="0.4">
      <c r="I65" s="33"/>
      <c r="J65" s="35"/>
      <c r="K65" s="35"/>
      <c r="L65" s="35"/>
      <c r="M65" s="35"/>
      <c r="O65" s="35"/>
      <c r="P65" s="35"/>
      <c r="Q65" s="35"/>
      <c r="R65" s="33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</row>
    <row r="66" spans="9:39" ht="15" x14ac:dyDescent="0.4">
      <c r="I66" s="33" t="s">
        <v>159</v>
      </c>
      <c r="J66" s="35"/>
      <c r="K66" s="35"/>
      <c r="L66" s="35"/>
      <c r="M66" s="35"/>
      <c r="O66" s="35"/>
      <c r="P66" s="35"/>
      <c r="Q66" s="35"/>
      <c r="R66" s="33" t="s">
        <v>161</v>
      </c>
      <c r="S66" s="35"/>
      <c r="T66" s="35"/>
      <c r="U66" s="33" t="s">
        <v>162</v>
      </c>
      <c r="V66" s="35"/>
      <c r="W66" s="35"/>
      <c r="X66" s="35"/>
      <c r="Y66" s="35"/>
      <c r="Z66" s="41" t="s">
        <v>163</v>
      </c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</row>
    <row r="67" spans="9:39" ht="15" x14ac:dyDescent="0.4">
      <c r="I67" s="33" t="s">
        <v>35</v>
      </c>
      <c r="J67" s="35"/>
      <c r="K67" s="35"/>
      <c r="L67" s="35"/>
      <c r="M67" s="35"/>
      <c r="O67" s="35"/>
      <c r="P67" s="35"/>
      <c r="Q67" s="35"/>
      <c r="R67" s="33" t="s">
        <v>164</v>
      </c>
      <c r="S67" s="35"/>
      <c r="T67" s="35"/>
      <c r="U67" s="33"/>
      <c r="V67" s="35"/>
      <c r="W67" s="35"/>
      <c r="X67" s="35"/>
      <c r="Y67" s="35"/>
      <c r="Z67" s="41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</row>
    <row r="68" spans="9:39" ht="15" x14ac:dyDescent="0.4">
      <c r="I68" s="33" t="s">
        <v>37</v>
      </c>
      <c r="J68" s="35"/>
      <c r="K68" s="35"/>
      <c r="L68" s="35"/>
      <c r="M68" s="35"/>
      <c r="O68" s="35"/>
      <c r="P68" s="35"/>
      <c r="Q68" s="35"/>
      <c r="R68" s="33" t="s">
        <v>55</v>
      </c>
      <c r="S68" s="35"/>
      <c r="T68" s="35"/>
      <c r="U68" s="33" t="s">
        <v>165</v>
      </c>
      <c r="V68" s="35"/>
      <c r="W68" s="35"/>
      <c r="X68" s="35"/>
      <c r="Y68" s="35"/>
      <c r="Z68" s="41" t="s">
        <v>166</v>
      </c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</row>
    <row r="69" spans="9:39" ht="15" x14ac:dyDescent="0.4">
      <c r="I69" s="33" t="s">
        <v>38</v>
      </c>
      <c r="J69" s="35"/>
      <c r="K69" s="35"/>
      <c r="L69" s="35"/>
      <c r="M69" s="35"/>
      <c r="O69" s="35"/>
      <c r="P69" s="35"/>
      <c r="Q69" s="35"/>
      <c r="R69" s="33" t="s">
        <v>167</v>
      </c>
      <c r="S69" s="35"/>
      <c r="T69" s="35"/>
      <c r="U69" s="33" t="s">
        <v>106</v>
      </c>
      <c r="V69" s="35"/>
      <c r="W69" s="35"/>
      <c r="X69" s="35"/>
      <c r="Y69" s="35"/>
      <c r="Z69" s="41" t="s">
        <v>148</v>
      </c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</row>
    <row r="70" spans="9:39" ht="15" x14ac:dyDescent="0.4">
      <c r="I70" s="33" t="s">
        <v>40</v>
      </c>
      <c r="J70" s="35"/>
      <c r="K70" s="35"/>
      <c r="L70" s="35"/>
      <c r="M70" s="35"/>
      <c r="O70" s="35"/>
      <c r="P70" s="35"/>
      <c r="Q70" s="35"/>
      <c r="R70" s="33" t="s">
        <v>40</v>
      </c>
      <c r="S70" s="35"/>
      <c r="T70" s="35"/>
      <c r="U70" s="33" t="s">
        <v>37</v>
      </c>
      <c r="V70" s="35"/>
      <c r="W70" s="35"/>
      <c r="X70" s="35"/>
      <c r="Y70" s="35"/>
      <c r="Z70" s="41" t="s">
        <v>56</v>
      </c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</row>
    <row r="71" spans="9:39" ht="15" x14ac:dyDescent="0.4">
      <c r="I71" s="33" t="s">
        <v>150</v>
      </c>
      <c r="J71" s="35"/>
      <c r="K71" s="35"/>
      <c r="L71" s="35"/>
      <c r="M71" s="35"/>
      <c r="O71" s="35"/>
      <c r="P71" s="35"/>
      <c r="Q71" s="35"/>
      <c r="R71" s="33" t="s">
        <v>169</v>
      </c>
      <c r="S71" s="35"/>
      <c r="T71" s="35"/>
      <c r="U71" s="33" t="s">
        <v>110</v>
      </c>
      <c r="V71" s="35"/>
      <c r="W71" s="35"/>
      <c r="X71" s="35"/>
      <c r="Y71" s="35"/>
      <c r="Z71" s="41">
        <v>28823</v>
      </c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</row>
    <row r="72" spans="9:39" ht="15" x14ac:dyDescent="0.4">
      <c r="I72" s="35"/>
      <c r="J72" s="35"/>
      <c r="K72" s="35"/>
      <c r="L72" s="35"/>
      <c r="M72" s="35"/>
      <c r="O72" s="35"/>
      <c r="P72" s="35"/>
      <c r="Q72" s="35"/>
      <c r="R72" s="35"/>
      <c r="S72" s="35"/>
      <c r="T72" s="35"/>
      <c r="U72" s="33" t="s">
        <v>40</v>
      </c>
      <c r="V72" s="35"/>
      <c r="W72" s="35"/>
      <c r="X72" s="35"/>
      <c r="Y72" s="35"/>
      <c r="Z72" s="41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</row>
    <row r="73" spans="9:39" ht="15" x14ac:dyDescent="0.4">
      <c r="I73" s="33" t="s">
        <v>170</v>
      </c>
      <c r="J73" s="35"/>
      <c r="K73" s="35"/>
      <c r="L73" s="35"/>
      <c r="M73" s="35"/>
      <c r="O73" s="35"/>
      <c r="P73" s="35"/>
      <c r="Q73" s="35"/>
      <c r="R73" s="33" t="s">
        <v>172</v>
      </c>
      <c r="S73" s="35"/>
      <c r="T73" s="35"/>
      <c r="U73" s="33" t="s">
        <v>173</v>
      </c>
      <c r="V73" s="35"/>
      <c r="W73" s="35"/>
      <c r="X73" s="35"/>
      <c r="Y73" s="35"/>
      <c r="Z73" s="41" t="s">
        <v>174</v>
      </c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</row>
    <row r="74" spans="9:39" ht="15" x14ac:dyDescent="0.4">
      <c r="I74" s="33"/>
      <c r="J74" s="35"/>
      <c r="K74" s="35"/>
      <c r="L74" s="35"/>
      <c r="M74" s="35"/>
      <c r="O74" s="35"/>
      <c r="P74" s="35"/>
      <c r="Q74" s="35"/>
      <c r="R74" s="33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</row>
    <row r="75" spans="9:39" ht="15" x14ac:dyDescent="0.4">
      <c r="I75" s="33" t="s">
        <v>175</v>
      </c>
      <c r="J75" s="35"/>
      <c r="K75" s="35"/>
      <c r="L75" s="35"/>
      <c r="M75" s="35"/>
      <c r="O75" s="35"/>
      <c r="P75" s="35"/>
      <c r="Q75" s="35"/>
      <c r="R75" s="33" t="s">
        <v>176</v>
      </c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</row>
    <row r="76" spans="9:39" ht="15" x14ac:dyDescent="0.4">
      <c r="I76" s="33" t="s">
        <v>35</v>
      </c>
      <c r="J76" s="35"/>
      <c r="K76" s="35"/>
      <c r="L76" s="35"/>
      <c r="M76" s="35"/>
      <c r="O76" s="35"/>
      <c r="P76" s="35"/>
      <c r="Q76" s="35"/>
      <c r="R76" s="33" t="s">
        <v>35</v>
      </c>
      <c r="S76" s="35"/>
      <c r="T76" s="35"/>
      <c r="U76" s="33" t="s">
        <v>177</v>
      </c>
      <c r="V76" s="34"/>
      <c r="W76" s="34"/>
      <c r="X76" s="34"/>
      <c r="Y76" s="34"/>
      <c r="Z76" s="33" t="s">
        <v>178</v>
      </c>
      <c r="AA76" s="34"/>
      <c r="AB76" s="34"/>
      <c r="AC76" s="34"/>
      <c r="AD76" s="33" t="s">
        <v>179</v>
      </c>
      <c r="AE76" s="35"/>
      <c r="AF76" s="35"/>
      <c r="AG76" s="35"/>
      <c r="AH76" s="35"/>
      <c r="AI76" s="35"/>
      <c r="AJ76" s="35"/>
      <c r="AK76" s="35"/>
      <c r="AL76" s="35"/>
      <c r="AM76" s="35"/>
    </row>
    <row r="77" spans="9:39" ht="15" x14ac:dyDescent="0.4">
      <c r="I77" s="33" t="s">
        <v>37</v>
      </c>
      <c r="J77" s="35"/>
      <c r="K77" s="35"/>
      <c r="L77" s="35"/>
      <c r="M77" s="35"/>
      <c r="O77" s="35"/>
      <c r="P77" s="35"/>
      <c r="Q77" s="35"/>
      <c r="R77" s="33" t="s">
        <v>37</v>
      </c>
      <c r="S77" s="35"/>
      <c r="T77" s="35"/>
      <c r="U77" s="33"/>
      <c r="V77" s="34"/>
      <c r="W77" s="34"/>
      <c r="X77" s="34"/>
      <c r="Y77" s="34"/>
      <c r="Z77" s="33"/>
      <c r="AA77" s="34"/>
      <c r="AB77" s="34"/>
      <c r="AC77" s="34"/>
      <c r="AD77" s="33"/>
      <c r="AE77" s="35"/>
      <c r="AF77" s="35"/>
      <c r="AG77" s="35"/>
      <c r="AH77" s="35"/>
      <c r="AI77" s="35"/>
      <c r="AJ77" s="35"/>
      <c r="AK77" s="35"/>
      <c r="AL77" s="35"/>
      <c r="AM77" s="35"/>
    </row>
    <row r="78" spans="9:39" ht="15" x14ac:dyDescent="0.4">
      <c r="I78" s="33" t="s">
        <v>38</v>
      </c>
      <c r="J78" s="35"/>
      <c r="K78" s="35"/>
      <c r="L78" s="35"/>
      <c r="M78" s="35"/>
      <c r="O78" s="35"/>
      <c r="P78" s="35"/>
      <c r="Q78" s="35"/>
      <c r="R78" s="33" t="s">
        <v>38</v>
      </c>
      <c r="S78" s="35"/>
      <c r="T78" s="35"/>
      <c r="U78" s="33" t="s">
        <v>180</v>
      </c>
      <c r="V78" s="34"/>
      <c r="W78" s="34"/>
      <c r="X78" s="34"/>
      <c r="Y78" s="34"/>
      <c r="Z78" s="33" t="s">
        <v>181</v>
      </c>
      <c r="AA78" s="34"/>
      <c r="AB78" s="34"/>
      <c r="AC78" s="34"/>
      <c r="AD78" s="33" t="s">
        <v>182</v>
      </c>
      <c r="AE78" s="35"/>
      <c r="AF78" s="35"/>
      <c r="AG78" s="35"/>
      <c r="AH78" s="35"/>
      <c r="AI78" s="35"/>
      <c r="AJ78" s="35"/>
      <c r="AK78" s="35"/>
      <c r="AL78" s="35"/>
      <c r="AM78" s="35"/>
    </row>
    <row r="79" spans="9:39" ht="15" x14ac:dyDescent="0.4">
      <c r="I79" s="33" t="s">
        <v>40</v>
      </c>
      <c r="J79" s="35"/>
      <c r="K79" s="35"/>
      <c r="L79" s="35"/>
      <c r="M79" s="35"/>
      <c r="O79" s="35"/>
      <c r="P79" s="35"/>
      <c r="Q79" s="35"/>
      <c r="R79" s="33" t="s">
        <v>183</v>
      </c>
      <c r="S79" s="35"/>
      <c r="T79" s="35"/>
      <c r="U79" s="33" t="s">
        <v>35</v>
      </c>
      <c r="V79" s="34"/>
      <c r="W79" s="34"/>
      <c r="X79" s="34"/>
      <c r="Y79" s="34"/>
      <c r="Z79" s="33" t="s">
        <v>71</v>
      </c>
      <c r="AA79" s="34"/>
      <c r="AB79" s="34"/>
      <c r="AC79" s="34"/>
      <c r="AD79" s="33" t="s">
        <v>71</v>
      </c>
      <c r="AE79" s="35"/>
      <c r="AF79" s="35"/>
      <c r="AG79" s="35"/>
      <c r="AH79" s="35"/>
      <c r="AI79" s="35"/>
      <c r="AJ79" s="35"/>
      <c r="AK79" s="35"/>
      <c r="AL79" s="35"/>
      <c r="AM79" s="35"/>
    </row>
    <row r="80" spans="9:39" ht="15" x14ac:dyDescent="0.4">
      <c r="I80" s="33" t="s">
        <v>184</v>
      </c>
      <c r="J80" s="35"/>
      <c r="K80" s="35"/>
      <c r="L80" s="35"/>
      <c r="M80" s="35"/>
      <c r="O80" s="35"/>
      <c r="P80" s="35"/>
      <c r="Q80" s="35"/>
      <c r="R80" s="33" t="s">
        <v>186</v>
      </c>
      <c r="S80" s="35"/>
      <c r="T80" s="35"/>
      <c r="U80" s="33" t="s">
        <v>37</v>
      </c>
      <c r="V80" s="34"/>
      <c r="W80" s="34"/>
      <c r="X80" s="34"/>
      <c r="Y80" s="34"/>
      <c r="Z80" s="33" t="s">
        <v>37</v>
      </c>
      <c r="AA80" s="34"/>
      <c r="AB80" s="34"/>
      <c r="AC80" s="34"/>
      <c r="AD80" s="33" t="s">
        <v>37</v>
      </c>
      <c r="AE80" s="35"/>
      <c r="AF80" s="35"/>
      <c r="AG80" s="35"/>
      <c r="AH80" s="35"/>
      <c r="AI80" s="35"/>
      <c r="AJ80" s="35"/>
      <c r="AK80" s="35"/>
      <c r="AL80" s="35"/>
      <c r="AM80" s="35"/>
    </row>
    <row r="81" spans="9:39" ht="15" x14ac:dyDescent="0.4">
      <c r="I81" s="35"/>
      <c r="J81" s="35"/>
      <c r="K81" s="35"/>
      <c r="L81" s="35"/>
      <c r="M81" s="35"/>
      <c r="O81" s="35"/>
      <c r="P81" s="35"/>
      <c r="Q81" s="35"/>
      <c r="R81" s="35"/>
      <c r="S81" s="35"/>
      <c r="T81" s="35"/>
      <c r="U81" s="33" t="s">
        <v>38</v>
      </c>
      <c r="V81" s="34"/>
      <c r="W81" s="34"/>
      <c r="X81" s="34"/>
      <c r="Y81" s="34"/>
      <c r="Z81" s="33" t="s">
        <v>187</v>
      </c>
      <c r="AA81" s="34"/>
      <c r="AB81" s="34"/>
      <c r="AC81" s="34"/>
      <c r="AD81" s="33" t="s">
        <v>187</v>
      </c>
      <c r="AE81" s="35"/>
      <c r="AF81" s="35"/>
      <c r="AG81" s="35"/>
      <c r="AH81" s="35"/>
      <c r="AI81" s="35"/>
      <c r="AJ81" s="35"/>
      <c r="AK81" s="35"/>
      <c r="AL81" s="35"/>
      <c r="AM81" s="35"/>
    </row>
    <row r="82" spans="9:39" ht="15" x14ac:dyDescent="0.4">
      <c r="I82" s="33" t="s">
        <v>188</v>
      </c>
      <c r="J82" s="35"/>
      <c r="K82" s="35"/>
      <c r="L82" s="35"/>
      <c r="M82" s="35"/>
      <c r="O82" s="35"/>
      <c r="P82" s="35"/>
      <c r="Q82" s="35"/>
      <c r="R82" s="33" t="s">
        <v>190</v>
      </c>
      <c r="S82" s="35"/>
      <c r="T82" s="35"/>
      <c r="U82" s="33" t="s">
        <v>40</v>
      </c>
      <c r="V82" s="34"/>
      <c r="W82" s="34"/>
      <c r="X82" s="34"/>
      <c r="Y82" s="34"/>
      <c r="Z82" s="33" t="s">
        <v>40</v>
      </c>
      <c r="AA82" s="34"/>
      <c r="AB82" s="34"/>
      <c r="AC82" s="34"/>
      <c r="AD82" s="33" t="s">
        <v>40</v>
      </c>
      <c r="AE82" s="35"/>
      <c r="AF82" s="35"/>
      <c r="AG82" s="35"/>
      <c r="AH82" s="35"/>
      <c r="AI82" s="35"/>
      <c r="AJ82" s="35"/>
      <c r="AK82" s="35"/>
      <c r="AL82" s="35"/>
      <c r="AM82" s="35"/>
    </row>
    <row r="83" spans="9:39" ht="15" x14ac:dyDescent="0.4">
      <c r="I83" s="33"/>
      <c r="J83" s="35"/>
      <c r="K83" s="35"/>
      <c r="L83" s="35"/>
      <c r="M83" s="35"/>
      <c r="O83" s="35"/>
      <c r="P83" s="35"/>
      <c r="Q83" s="35"/>
      <c r="R83" s="33"/>
      <c r="S83" s="35"/>
      <c r="T83" s="35"/>
      <c r="U83" s="33" t="s">
        <v>191</v>
      </c>
      <c r="V83" s="34"/>
      <c r="W83" s="34"/>
      <c r="X83" s="34"/>
      <c r="Y83" s="34"/>
      <c r="Z83" s="33" t="s">
        <v>192</v>
      </c>
      <c r="AA83" s="34"/>
      <c r="AB83" s="34"/>
      <c r="AC83" s="34"/>
      <c r="AD83" s="33" t="s">
        <v>193</v>
      </c>
      <c r="AE83" s="35"/>
      <c r="AF83" s="35"/>
      <c r="AG83" s="35"/>
      <c r="AH83" s="35"/>
      <c r="AI83" s="35"/>
      <c r="AJ83" s="35"/>
      <c r="AK83" s="35"/>
      <c r="AL83" s="35"/>
      <c r="AM83" s="35"/>
    </row>
    <row r="84" spans="9:39" ht="15" x14ac:dyDescent="0.4">
      <c r="I84" s="33" t="s">
        <v>194</v>
      </c>
      <c r="J84" s="35"/>
      <c r="K84" s="35"/>
      <c r="L84" s="35"/>
      <c r="M84" s="35"/>
      <c r="O84" s="35"/>
      <c r="P84" s="35"/>
      <c r="Q84" s="35"/>
      <c r="R84" s="33" t="s">
        <v>196</v>
      </c>
      <c r="S84" s="35"/>
      <c r="T84" s="35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5"/>
      <c r="AF84" s="35"/>
      <c r="AG84" s="35"/>
      <c r="AH84" s="35"/>
      <c r="AI84" s="35"/>
      <c r="AJ84" s="35"/>
      <c r="AK84" s="35"/>
      <c r="AL84" s="35"/>
      <c r="AM84" s="35"/>
    </row>
    <row r="85" spans="9:39" ht="15" x14ac:dyDescent="0.4">
      <c r="I85" s="33" t="s">
        <v>197</v>
      </c>
      <c r="J85" s="35"/>
      <c r="K85" s="35"/>
      <c r="L85" s="35"/>
      <c r="M85" s="35"/>
      <c r="O85" s="35"/>
      <c r="P85" s="35"/>
      <c r="Q85" s="35"/>
      <c r="R85" s="33" t="s">
        <v>198</v>
      </c>
      <c r="S85" s="35"/>
      <c r="T85" s="35"/>
      <c r="U85" s="33" t="s">
        <v>199</v>
      </c>
      <c r="V85" s="34"/>
      <c r="W85" s="34"/>
      <c r="X85" s="34"/>
      <c r="Y85" s="34"/>
      <c r="Z85" s="33" t="s">
        <v>200</v>
      </c>
      <c r="AA85" s="34"/>
      <c r="AB85" s="34"/>
      <c r="AC85" s="34"/>
      <c r="AD85" s="33" t="s">
        <v>201</v>
      </c>
      <c r="AE85" s="35"/>
      <c r="AF85" s="35"/>
      <c r="AG85" s="35"/>
      <c r="AH85" s="35"/>
      <c r="AI85" s="35"/>
      <c r="AJ85" s="35"/>
      <c r="AK85" s="35"/>
      <c r="AL85" s="35"/>
      <c r="AM85" s="35"/>
    </row>
    <row r="86" spans="9:39" ht="15" x14ac:dyDescent="0.4">
      <c r="I86" s="33" t="s">
        <v>202</v>
      </c>
      <c r="J86" s="35"/>
      <c r="K86" s="35"/>
      <c r="L86" s="35"/>
      <c r="M86" s="35"/>
      <c r="O86" s="35"/>
      <c r="P86" s="35"/>
      <c r="Q86" s="35"/>
      <c r="R86" s="33" t="s">
        <v>55</v>
      </c>
      <c r="S86" s="35"/>
      <c r="T86" s="35"/>
      <c r="U86" s="33"/>
      <c r="V86" s="34"/>
      <c r="W86" s="34"/>
      <c r="X86" s="34"/>
      <c r="Y86" s="34"/>
      <c r="Z86" s="33"/>
      <c r="AA86" s="34"/>
      <c r="AB86" s="34"/>
      <c r="AC86" s="34"/>
      <c r="AD86" s="33" t="s">
        <v>203</v>
      </c>
      <c r="AE86" s="35"/>
      <c r="AF86" s="35"/>
      <c r="AG86" s="35"/>
      <c r="AH86" s="35"/>
      <c r="AI86" s="35"/>
      <c r="AJ86" s="35"/>
      <c r="AK86" s="35"/>
      <c r="AL86" s="35"/>
      <c r="AM86" s="35"/>
    </row>
    <row r="87" spans="9:39" ht="15" x14ac:dyDescent="0.4">
      <c r="I87" s="33" t="s">
        <v>204</v>
      </c>
      <c r="J87" s="35"/>
      <c r="K87" s="35"/>
      <c r="L87" s="35"/>
      <c r="M87" s="35"/>
      <c r="O87" s="35"/>
      <c r="P87" s="35"/>
      <c r="Q87" s="35"/>
      <c r="R87" s="33" t="s">
        <v>206</v>
      </c>
      <c r="S87" s="35"/>
      <c r="T87" s="35"/>
      <c r="U87" s="33" t="s">
        <v>207</v>
      </c>
      <c r="V87" s="35"/>
      <c r="W87" s="35"/>
      <c r="X87" s="35"/>
      <c r="Y87" s="35"/>
      <c r="Z87" s="33" t="s">
        <v>208</v>
      </c>
      <c r="AA87" s="35"/>
      <c r="AB87" s="35"/>
      <c r="AC87" s="35"/>
      <c r="AD87" s="33" t="s">
        <v>209</v>
      </c>
      <c r="AE87" s="35"/>
      <c r="AF87" s="35"/>
      <c r="AG87" s="35"/>
      <c r="AH87" s="35"/>
      <c r="AI87" s="35"/>
      <c r="AJ87" s="35"/>
      <c r="AK87" s="35"/>
      <c r="AL87" s="35"/>
      <c r="AM87" s="35"/>
    </row>
    <row r="88" spans="9:39" ht="15" x14ac:dyDescent="0.4">
      <c r="I88" s="33" t="s">
        <v>40</v>
      </c>
      <c r="J88" s="35"/>
      <c r="K88" s="35"/>
      <c r="L88" s="35"/>
      <c r="M88" s="35"/>
      <c r="O88" s="35"/>
      <c r="P88" s="35"/>
      <c r="Q88" s="35"/>
      <c r="R88" s="33" t="s">
        <v>40</v>
      </c>
      <c r="S88" s="35"/>
      <c r="T88" s="35"/>
      <c r="U88" s="33" t="s">
        <v>35</v>
      </c>
      <c r="V88" s="35"/>
      <c r="W88" s="35"/>
      <c r="X88" s="35"/>
      <c r="Y88" s="35"/>
      <c r="Z88" s="33" t="s">
        <v>35</v>
      </c>
      <c r="AA88" s="35"/>
      <c r="AB88" s="35"/>
      <c r="AC88" s="35"/>
      <c r="AD88" s="33" t="s">
        <v>35</v>
      </c>
      <c r="AE88" s="35"/>
      <c r="AF88" s="35"/>
      <c r="AG88" s="35"/>
      <c r="AH88" s="35"/>
      <c r="AI88" s="35"/>
      <c r="AJ88" s="35"/>
      <c r="AK88" s="35"/>
      <c r="AL88" s="35"/>
      <c r="AM88" s="35"/>
    </row>
    <row r="89" spans="9:39" ht="15" x14ac:dyDescent="0.4">
      <c r="I89" s="33" t="s">
        <v>210</v>
      </c>
      <c r="J89" s="35"/>
      <c r="K89" s="35"/>
      <c r="L89" s="35"/>
      <c r="M89" s="35"/>
      <c r="O89" s="35"/>
      <c r="P89" s="35"/>
      <c r="Q89" s="35"/>
      <c r="R89" s="33" t="s">
        <v>212</v>
      </c>
      <c r="S89" s="35"/>
      <c r="T89" s="35"/>
      <c r="U89" s="33" t="s">
        <v>37</v>
      </c>
      <c r="V89" s="35"/>
      <c r="W89" s="35"/>
      <c r="X89" s="35"/>
      <c r="Y89" s="35"/>
      <c r="Z89" s="33" t="s">
        <v>37</v>
      </c>
      <c r="AA89" s="35"/>
      <c r="AB89" s="35"/>
      <c r="AC89" s="35"/>
      <c r="AD89" s="33" t="s">
        <v>37</v>
      </c>
      <c r="AE89" s="35"/>
      <c r="AF89" s="35"/>
      <c r="AG89" s="35"/>
      <c r="AH89" s="35"/>
      <c r="AI89" s="35"/>
      <c r="AJ89" s="35"/>
      <c r="AK89" s="35"/>
      <c r="AL89" s="35"/>
      <c r="AM89" s="35"/>
    </row>
    <row r="90" spans="9:39" ht="15" x14ac:dyDescent="0.4">
      <c r="I90" s="35"/>
      <c r="J90" s="35"/>
      <c r="K90" s="35"/>
      <c r="L90" s="35"/>
      <c r="M90" s="35"/>
      <c r="O90" s="35"/>
      <c r="P90" s="35"/>
      <c r="Q90" s="35"/>
      <c r="R90" s="35"/>
      <c r="S90" s="35"/>
      <c r="T90" s="35"/>
      <c r="U90" s="33" t="s">
        <v>38</v>
      </c>
      <c r="V90" s="35"/>
      <c r="W90" s="35"/>
      <c r="X90" s="35"/>
      <c r="Y90" s="35"/>
      <c r="Z90" s="33" t="s">
        <v>38</v>
      </c>
      <c r="AA90" s="35"/>
      <c r="AB90" s="35"/>
      <c r="AC90" s="35"/>
      <c r="AD90" s="33" t="s">
        <v>38</v>
      </c>
      <c r="AE90" s="35"/>
      <c r="AF90" s="35"/>
      <c r="AG90" s="35"/>
      <c r="AH90" s="35"/>
      <c r="AI90" s="35"/>
      <c r="AJ90" s="35"/>
      <c r="AK90" s="35"/>
      <c r="AL90" s="35"/>
      <c r="AM90" s="35"/>
    </row>
    <row r="91" spans="9:39" ht="15" x14ac:dyDescent="0.4">
      <c r="I91" s="33" t="s">
        <v>213</v>
      </c>
      <c r="J91" s="35"/>
      <c r="K91" s="35"/>
      <c r="L91" s="35"/>
      <c r="M91" s="35"/>
      <c r="O91" s="35"/>
      <c r="P91" s="35"/>
      <c r="Q91" s="35"/>
      <c r="R91" s="33" t="s">
        <v>215</v>
      </c>
      <c r="S91" s="35"/>
      <c r="T91" s="35"/>
      <c r="U91" s="33" t="s">
        <v>40</v>
      </c>
      <c r="V91" s="35"/>
      <c r="W91" s="35"/>
      <c r="X91" s="35"/>
      <c r="Y91" s="35"/>
      <c r="Z91" s="33" t="s">
        <v>40</v>
      </c>
      <c r="AA91" s="35"/>
      <c r="AB91" s="35"/>
      <c r="AC91" s="35"/>
      <c r="AD91" s="33" t="s">
        <v>216</v>
      </c>
      <c r="AE91" s="35"/>
      <c r="AF91" s="35"/>
      <c r="AG91" s="35"/>
      <c r="AH91" s="35"/>
      <c r="AI91" s="35"/>
      <c r="AJ91" s="35"/>
      <c r="AK91" s="35"/>
      <c r="AL91" s="35"/>
      <c r="AM91" s="35"/>
    </row>
    <row r="92" spans="9:39" ht="15" x14ac:dyDescent="0.4">
      <c r="I92" s="33"/>
      <c r="J92" s="35"/>
      <c r="K92" s="35"/>
      <c r="L92" s="35"/>
      <c r="M92" s="35"/>
      <c r="O92" s="35"/>
      <c r="P92" s="35"/>
      <c r="Q92" s="35"/>
      <c r="R92" s="33"/>
      <c r="S92" s="35"/>
      <c r="T92" s="35"/>
      <c r="U92" s="33" t="s">
        <v>217</v>
      </c>
      <c r="V92" s="35"/>
      <c r="W92" s="35"/>
      <c r="X92" s="35"/>
      <c r="Y92" s="35"/>
      <c r="Z92" s="33" t="s">
        <v>218</v>
      </c>
      <c r="AA92" s="35"/>
      <c r="AB92" s="35"/>
      <c r="AC92" s="35"/>
      <c r="AD92" s="33" t="s">
        <v>219</v>
      </c>
      <c r="AE92" s="35"/>
      <c r="AF92" s="35"/>
      <c r="AG92" s="35"/>
      <c r="AH92" s="35"/>
      <c r="AI92" s="35"/>
      <c r="AJ92" s="35"/>
      <c r="AK92" s="35"/>
      <c r="AL92" s="35"/>
      <c r="AM92" s="35"/>
    </row>
    <row r="93" spans="9:39" ht="15" x14ac:dyDescent="0.4">
      <c r="I93" s="33" t="s">
        <v>220</v>
      </c>
      <c r="J93" s="35"/>
      <c r="K93" s="35"/>
      <c r="L93" s="35"/>
      <c r="M93" s="35"/>
      <c r="O93" s="35"/>
      <c r="P93" s="35"/>
      <c r="Q93" s="35"/>
      <c r="R93" s="33" t="s">
        <v>222</v>
      </c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</row>
    <row r="94" spans="9:39" ht="15" x14ac:dyDescent="0.4">
      <c r="I94" s="33" t="s">
        <v>127</v>
      </c>
      <c r="J94" s="35"/>
      <c r="K94" s="35"/>
      <c r="L94" s="35"/>
      <c r="M94" s="35"/>
      <c r="O94" s="35"/>
      <c r="P94" s="35"/>
      <c r="Q94" s="35"/>
      <c r="R94" s="33" t="s">
        <v>35</v>
      </c>
      <c r="S94" s="35"/>
      <c r="T94" s="35"/>
      <c r="U94" s="33" t="s">
        <v>223</v>
      </c>
      <c r="V94" s="35"/>
      <c r="W94" s="35"/>
      <c r="X94" s="35"/>
      <c r="Y94" s="35"/>
      <c r="Z94" s="33" t="s">
        <v>224</v>
      </c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</row>
    <row r="95" spans="9:39" ht="15" x14ac:dyDescent="0.4">
      <c r="I95" s="33" t="s">
        <v>37</v>
      </c>
      <c r="J95" s="35"/>
      <c r="K95" s="35"/>
      <c r="L95" s="35"/>
      <c r="M95" s="35"/>
      <c r="O95" s="35"/>
      <c r="P95" s="35"/>
      <c r="Q95" s="35"/>
      <c r="R95" s="33" t="s">
        <v>37</v>
      </c>
      <c r="S95" s="35"/>
      <c r="T95" s="35"/>
      <c r="U95" s="33"/>
      <c r="V95" s="35"/>
      <c r="W95" s="35"/>
      <c r="X95" s="35"/>
      <c r="Y95" s="35"/>
      <c r="Z95" s="33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</row>
    <row r="96" spans="9:39" ht="15" x14ac:dyDescent="0.4">
      <c r="I96" s="33" t="s">
        <v>225</v>
      </c>
      <c r="J96" s="35"/>
      <c r="K96" s="35"/>
      <c r="L96" s="35"/>
      <c r="M96" s="35"/>
      <c r="O96" s="35"/>
      <c r="P96" s="35"/>
      <c r="Q96" s="35"/>
      <c r="R96" s="33" t="s">
        <v>38</v>
      </c>
      <c r="S96" s="35"/>
      <c r="T96" s="35"/>
      <c r="U96" s="33" t="s">
        <v>226</v>
      </c>
      <c r="V96" s="35"/>
      <c r="W96" s="35"/>
      <c r="X96" s="35"/>
      <c r="Y96" s="35"/>
      <c r="Z96" s="33" t="s">
        <v>226</v>
      </c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</row>
    <row r="97" spans="9:39" ht="15" x14ac:dyDescent="0.4">
      <c r="I97" s="33" t="s">
        <v>40</v>
      </c>
      <c r="J97" s="35"/>
      <c r="K97" s="35"/>
      <c r="L97" s="35"/>
      <c r="M97" s="35"/>
      <c r="O97" s="35"/>
      <c r="P97" s="35"/>
      <c r="Q97" s="35"/>
      <c r="R97" s="33"/>
      <c r="S97" s="35"/>
      <c r="T97" s="35"/>
      <c r="U97" s="33" t="s">
        <v>35</v>
      </c>
      <c r="V97" s="35"/>
      <c r="W97" s="35"/>
      <c r="X97" s="35"/>
      <c r="Y97" s="35"/>
      <c r="Z97" s="33" t="s">
        <v>35</v>
      </c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</row>
    <row r="98" spans="9:39" ht="15" x14ac:dyDescent="0.4">
      <c r="I98" s="33" t="s">
        <v>227</v>
      </c>
      <c r="J98" s="35"/>
      <c r="K98" s="35"/>
      <c r="L98" s="35"/>
      <c r="M98" s="35"/>
      <c r="O98" s="35"/>
      <c r="P98" s="35"/>
      <c r="Q98" s="35"/>
      <c r="R98" s="33" t="s">
        <v>229</v>
      </c>
      <c r="S98" s="35"/>
      <c r="T98" s="35"/>
      <c r="U98" s="33" t="s">
        <v>37</v>
      </c>
      <c r="V98" s="35"/>
      <c r="W98" s="35"/>
      <c r="X98" s="35"/>
      <c r="Y98" s="35"/>
      <c r="Z98" s="33" t="s">
        <v>37</v>
      </c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</row>
    <row r="99" spans="9:39" ht="15" x14ac:dyDescent="0.4">
      <c r="I99" s="35"/>
      <c r="J99" s="35"/>
      <c r="K99" s="35"/>
      <c r="L99" s="35"/>
      <c r="M99" s="35"/>
      <c r="O99" s="35"/>
      <c r="P99" s="35"/>
      <c r="Q99" s="35"/>
      <c r="R99" s="35"/>
      <c r="S99" s="35"/>
      <c r="T99" s="35"/>
      <c r="U99" s="33" t="s">
        <v>76</v>
      </c>
      <c r="V99" s="35"/>
      <c r="W99" s="35"/>
      <c r="X99" s="35"/>
      <c r="Y99" s="35"/>
      <c r="Z99" s="33" t="s">
        <v>76</v>
      </c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</row>
    <row r="100" spans="9:39" ht="15" x14ac:dyDescent="0.4">
      <c r="I100" s="33" t="s">
        <v>230</v>
      </c>
      <c r="J100" s="35"/>
      <c r="K100" s="35"/>
      <c r="L100" s="35"/>
      <c r="M100" s="35"/>
      <c r="O100" s="35"/>
      <c r="P100" s="35"/>
      <c r="Q100" s="35"/>
      <c r="R100" s="33" t="s">
        <v>232</v>
      </c>
      <c r="S100" s="35"/>
      <c r="T100" s="35"/>
      <c r="U100" s="33" t="s">
        <v>40</v>
      </c>
      <c r="V100" s="35"/>
      <c r="W100" s="35"/>
      <c r="X100" s="35"/>
      <c r="Y100" s="35"/>
      <c r="Z100" s="33" t="s">
        <v>40</v>
      </c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</row>
    <row r="101" spans="9:39" ht="15" x14ac:dyDescent="0.4">
      <c r="I101" s="33"/>
      <c r="J101" s="35"/>
      <c r="K101" s="35"/>
      <c r="L101" s="35"/>
      <c r="M101" s="35"/>
      <c r="O101" s="35"/>
      <c r="P101" s="35"/>
      <c r="Q101" s="35"/>
      <c r="R101" s="33"/>
      <c r="S101" s="35"/>
      <c r="T101" s="35"/>
      <c r="U101" s="33" t="s">
        <v>234</v>
      </c>
      <c r="V101" s="35"/>
      <c r="W101" s="35"/>
      <c r="X101" s="35"/>
      <c r="Y101" s="35"/>
      <c r="Z101" s="33" t="s">
        <v>235</v>
      </c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</row>
    <row r="102" spans="9:39" ht="15" x14ac:dyDescent="0.4">
      <c r="I102" s="33" t="s">
        <v>236</v>
      </c>
      <c r="J102" s="35"/>
      <c r="K102" s="35"/>
      <c r="L102" s="35"/>
      <c r="M102" s="35"/>
      <c r="O102" s="35"/>
      <c r="P102" s="35"/>
      <c r="Q102" s="35"/>
      <c r="R102" s="33" t="s">
        <v>238</v>
      </c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</row>
    <row r="103" spans="9:39" ht="15" x14ac:dyDescent="0.4">
      <c r="I103" s="33" t="s">
        <v>35</v>
      </c>
      <c r="J103" s="35"/>
      <c r="K103" s="35"/>
      <c r="L103" s="35"/>
      <c r="M103" s="35"/>
      <c r="O103" s="35"/>
      <c r="P103" s="35"/>
      <c r="Q103" s="35"/>
      <c r="R103" s="33" t="s">
        <v>35</v>
      </c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</row>
    <row r="104" spans="9:39" ht="15" x14ac:dyDescent="0.4">
      <c r="I104" s="33" t="s">
        <v>37</v>
      </c>
      <c r="J104" s="35"/>
      <c r="K104" s="35"/>
      <c r="L104" s="35"/>
      <c r="M104" s="35"/>
      <c r="O104" s="35"/>
      <c r="P104" s="35"/>
      <c r="Q104" s="35"/>
      <c r="R104" s="33" t="s">
        <v>37</v>
      </c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</row>
    <row r="105" spans="9:39" ht="15" x14ac:dyDescent="0.4">
      <c r="I105" s="33" t="s">
        <v>38</v>
      </c>
      <c r="J105" s="35"/>
      <c r="K105" s="35"/>
      <c r="L105" s="35"/>
      <c r="M105" s="35"/>
      <c r="O105" s="35"/>
      <c r="P105" s="35"/>
      <c r="Q105" s="35"/>
      <c r="R105" s="33" t="s">
        <v>38</v>
      </c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</row>
    <row r="106" spans="9:39" ht="15" x14ac:dyDescent="0.4">
      <c r="I106" s="33"/>
      <c r="J106" s="35"/>
      <c r="K106" s="35"/>
      <c r="L106" s="35"/>
      <c r="M106" s="35"/>
      <c r="O106" s="35"/>
      <c r="P106" s="35"/>
      <c r="Q106" s="35"/>
      <c r="R106" s="33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</row>
    <row r="107" spans="9:39" ht="15" x14ac:dyDescent="0.4">
      <c r="I107" s="33" t="s">
        <v>243</v>
      </c>
      <c r="J107" s="35"/>
      <c r="K107" s="35"/>
      <c r="L107" s="35"/>
      <c r="M107" s="35"/>
      <c r="O107" s="35"/>
      <c r="P107" s="35"/>
      <c r="Q107" s="35"/>
      <c r="R107" s="33" t="s">
        <v>245</v>
      </c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</row>
    <row r="108" spans="9:39" x14ac:dyDescent="0.35">
      <c r="I108" s="35"/>
      <c r="J108" s="35"/>
      <c r="K108" s="35"/>
      <c r="L108" s="35"/>
      <c r="M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</row>
    <row r="109" spans="9:39" ht="15" x14ac:dyDescent="0.4">
      <c r="I109" s="33" t="s">
        <v>247</v>
      </c>
      <c r="J109" s="35"/>
      <c r="K109" s="35"/>
      <c r="L109" s="35"/>
      <c r="M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</row>
    <row r="110" spans="9:39" ht="15" x14ac:dyDescent="0.4">
      <c r="I110" s="33"/>
      <c r="J110" s="35"/>
      <c r="K110" s="35"/>
      <c r="L110" s="35"/>
      <c r="M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</row>
    <row r="111" spans="9:39" ht="15" x14ac:dyDescent="0.4">
      <c r="I111" s="33" t="s">
        <v>249</v>
      </c>
      <c r="J111" s="35"/>
      <c r="K111" s="35"/>
      <c r="L111" s="35"/>
      <c r="M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</row>
    <row r="112" spans="9:39" ht="15" x14ac:dyDescent="0.4">
      <c r="I112" s="33" t="s">
        <v>35</v>
      </c>
      <c r="J112" s="35"/>
      <c r="K112" s="35"/>
      <c r="L112" s="35"/>
      <c r="M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</row>
    <row r="113" spans="9:39" ht="15" x14ac:dyDescent="0.4">
      <c r="I113" s="33" t="s">
        <v>37</v>
      </c>
      <c r="J113" s="35"/>
      <c r="K113" s="35"/>
      <c r="L113" s="35"/>
      <c r="M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</row>
    <row r="114" spans="9:39" ht="15" x14ac:dyDescent="0.4">
      <c r="I114" s="33" t="s">
        <v>38</v>
      </c>
      <c r="J114" s="35"/>
      <c r="K114" s="35"/>
      <c r="L114" s="35"/>
      <c r="M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</row>
    <row r="115" spans="9:39" ht="15" x14ac:dyDescent="0.4">
      <c r="I115" s="33" t="s">
        <v>254</v>
      </c>
      <c r="J115" s="35"/>
      <c r="K115" s="35"/>
      <c r="L115" s="35"/>
      <c r="M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</row>
    <row r="116" spans="9:39" ht="15" x14ac:dyDescent="0.4">
      <c r="I116" s="33"/>
      <c r="J116" s="35"/>
      <c r="K116" s="35"/>
      <c r="L116" s="35"/>
      <c r="M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</row>
    <row r="117" spans="9:39" x14ac:dyDescent="0.35">
      <c r="I117" s="35"/>
      <c r="J117" s="35"/>
      <c r="K117" s="35"/>
      <c r="L117" s="35"/>
      <c r="M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</row>
    <row r="118" spans="9:39" ht="15" x14ac:dyDescent="0.4">
      <c r="I118" s="33" t="s">
        <v>256</v>
      </c>
      <c r="J118" s="35"/>
      <c r="K118" s="35"/>
      <c r="L118" s="35"/>
      <c r="O118" s="35"/>
      <c r="P118" s="35"/>
      <c r="Q118" s="35"/>
      <c r="R118" s="33" t="s">
        <v>258</v>
      </c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</row>
    <row r="119" spans="9:39" ht="15" x14ac:dyDescent="0.4">
      <c r="I119" s="33"/>
      <c r="J119" s="35"/>
      <c r="K119" s="35"/>
      <c r="L119" s="35"/>
      <c r="O119" s="35"/>
      <c r="P119" s="35"/>
      <c r="Q119" s="35"/>
      <c r="R119" s="33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</row>
    <row r="120" spans="9:39" ht="15" x14ac:dyDescent="0.4">
      <c r="I120" s="33" t="s">
        <v>259</v>
      </c>
      <c r="J120" s="35"/>
      <c r="K120" s="35"/>
      <c r="L120" s="35"/>
      <c r="O120" s="35"/>
      <c r="P120" s="35"/>
      <c r="Q120" s="35"/>
      <c r="R120" s="33" t="s">
        <v>261</v>
      </c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</row>
    <row r="121" spans="9:39" ht="15" x14ac:dyDescent="0.4">
      <c r="I121" s="33" t="s">
        <v>127</v>
      </c>
      <c r="J121" s="35"/>
      <c r="K121" s="35"/>
      <c r="L121" s="35"/>
      <c r="O121" s="35"/>
      <c r="P121" s="35"/>
      <c r="Q121" s="35"/>
      <c r="R121" s="33" t="s">
        <v>35</v>
      </c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</row>
    <row r="122" spans="9:39" ht="15" x14ac:dyDescent="0.4">
      <c r="I122" s="33" t="s">
        <v>37</v>
      </c>
      <c r="J122" s="35"/>
      <c r="K122" s="35"/>
      <c r="L122" s="35"/>
      <c r="O122" s="35"/>
      <c r="P122" s="35"/>
      <c r="Q122" s="35"/>
      <c r="R122" s="33" t="s">
        <v>37</v>
      </c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</row>
    <row r="123" spans="9:39" ht="15" x14ac:dyDescent="0.4">
      <c r="I123" s="33" t="s">
        <v>262</v>
      </c>
      <c r="J123" s="35"/>
      <c r="K123" s="35"/>
      <c r="L123" s="35"/>
      <c r="O123" s="35"/>
      <c r="P123" s="35"/>
      <c r="Q123" s="35"/>
      <c r="R123" s="33" t="s">
        <v>38</v>
      </c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</row>
    <row r="124" spans="9:39" ht="15" x14ac:dyDescent="0.4">
      <c r="I124" s="33" t="s">
        <v>40</v>
      </c>
      <c r="J124" s="35"/>
      <c r="K124" s="35"/>
      <c r="L124" s="35"/>
      <c r="O124" s="35"/>
      <c r="P124" s="35"/>
      <c r="Q124" s="35"/>
      <c r="R124" s="33" t="s">
        <v>40</v>
      </c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</row>
    <row r="125" spans="9:39" ht="15" x14ac:dyDescent="0.4">
      <c r="I125" s="33" t="s">
        <v>263</v>
      </c>
      <c r="J125" s="35"/>
      <c r="K125" s="35"/>
      <c r="L125" s="35"/>
      <c r="O125" s="35"/>
      <c r="P125" s="35"/>
      <c r="Q125" s="35"/>
      <c r="R125" s="33" t="s">
        <v>265</v>
      </c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</row>
    <row r="126" spans="9:39" x14ac:dyDescent="0.35">
      <c r="I126" s="35"/>
      <c r="J126" s="35"/>
      <c r="K126" s="35"/>
      <c r="L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</row>
    <row r="127" spans="9:39" ht="15" x14ac:dyDescent="0.4">
      <c r="I127" s="33" t="s">
        <v>257</v>
      </c>
      <c r="J127" s="35"/>
      <c r="K127" s="35"/>
      <c r="L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</row>
    <row r="128" spans="9:39" ht="15" x14ac:dyDescent="0.4">
      <c r="I128" s="33"/>
      <c r="J128" s="35"/>
      <c r="K128" s="35"/>
      <c r="L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</row>
    <row r="129" spans="9:39" ht="15" x14ac:dyDescent="0.4">
      <c r="I129" s="33" t="s">
        <v>260</v>
      </c>
      <c r="J129" s="35"/>
      <c r="K129" s="35"/>
      <c r="L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</row>
    <row r="130" spans="9:39" ht="15" x14ac:dyDescent="0.4">
      <c r="I130" s="33" t="s">
        <v>35</v>
      </c>
      <c r="J130" s="35"/>
      <c r="K130" s="35"/>
      <c r="L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</row>
    <row r="131" spans="9:39" ht="15" x14ac:dyDescent="0.4">
      <c r="I131" s="33" t="s">
        <v>37</v>
      </c>
      <c r="J131" s="35"/>
      <c r="K131" s="35"/>
      <c r="L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</row>
    <row r="132" spans="9:39" ht="15" x14ac:dyDescent="0.4">
      <c r="I132" s="33" t="s">
        <v>38</v>
      </c>
      <c r="J132" s="35"/>
      <c r="K132" s="35"/>
      <c r="L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</row>
    <row r="133" spans="9:39" ht="15" x14ac:dyDescent="0.4">
      <c r="I133" s="33" t="s">
        <v>40</v>
      </c>
      <c r="J133" s="35"/>
      <c r="K133" s="35"/>
      <c r="L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</row>
    <row r="134" spans="9:39" ht="15" x14ac:dyDescent="0.4">
      <c r="I134" s="33" t="s">
        <v>264</v>
      </c>
      <c r="J134" s="35"/>
      <c r="K134" s="35"/>
      <c r="L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</row>
    <row r="135" spans="9:39" x14ac:dyDescent="0.35">
      <c r="I135" s="35"/>
    </row>
    <row r="136" spans="9:39" ht="15" x14ac:dyDescent="0.4">
      <c r="I136" s="33" t="s">
        <v>266</v>
      </c>
    </row>
    <row r="137" spans="9:39" ht="15" x14ac:dyDescent="0.4">
      <c r="I137" s="33"/>
    </row>
    <row r="138" spans="9:39" ht="15" x14ac:dyDescent="0.4">
      <c r="I138" s="33" t="s">
        <v>267</v>
      </c>
    </row>
    <row r="139" spans="9:39" ht="15" x14ac:dyDescent="0.4">
      <c r="I139" s="33" t="s">
        <v>35</v>
      </c>
    </row>
    <row r="140" spans="9:39" ht="15" x14ac:dyDescent="0.4">
      <c r="I140" s="33" t="s">
        <v>37</v>
      </c>
    </row>
    <row r="141" spans="9:39" ht="15" x14ac:dyDescent="0.4">
      <c r="I141" s="33" t="s">
        <v>38</v>
      </c>
    </row>
    <row r="142" spans="9:39" ht="15" x14ac:dyDescent="0.4">
      <c r="I142" s="33" t="s">
        <v>40</v>
      </c>
    </row>
    <row r="143" spans="9:39" ht="15" x14ac:dyDescent="0.4">
      <c r="I143" s="33" t="s">
        <v>268</v>
      </c>
    </row>
    <row r="145" spans="9:9" ht="15" x14ac:dyDescent="0.4">
      <c r="I145" s="33" t="s">
        <v>29</v>
      </c>
    </row>
    <row r="146" spans="9:9" ht="15" x14ac:dyDescent="0.4">
      <c r="I146" s="33"/>
    </row>
    <row r="147" spans="9:9" ht="15" x14ac:dyDescent="0.4">
      <c r="I147" s="33" t="s">
        <v>32</v>
      </c>
    </row>
    <row r="148" spans="9:9" ht="15" x14ac:dyDescent="0.4">
      <c r="I148" s="33" t="s">
        <v>35</v>
      </c>
    </row>
    <row r="149" spans="9:9" ht="15" x14ac:dyDescent="0.4">
      <c r="I149" s="33" t="s">
        <v>37</v>
      </c>
    </row>
    <row r="150" spans="9:9" ht="15" x14ac:dyDescent="0.4">
      <c r="I150" s="33" t="s">
        <v>38</v>
      </c>
    </row>
    <row r="151" spans="9:9" ht="15" x14ac:dyDescent="0.4">
      <c r="I151" s="33" t="s">
        <v>40</v>
      </c>
    </row>
    <row r="152" spans="9:9" ht="15" x14ac:dyDescent="0.4">
      <c r="I152" s="33" t="s">
        <v>43</v>
      </c>
    </row>
    <row r="153" spans="9:9" x14ac:dyDescent="0.35">
      <c r="I153" s="34"/>
    </row>
    <row r="154" spans="9:9" ht="15" x14ac:dyDescent="0.4">
      <c r="I154" s="33" t="s">
        <v>47</v>
      </c>
    </row>
    <row r="155" spans="9:9" ht="15" x14ac:dyDescent="0.4">
      <c r="I155" s="33"/>
    </row>
    <row r="156" spans="9:9" ht="15" x14ac:dyDescent="0.4">
      <c r="I156" s="33" t="s">
        <v>50</v>
      </c>
    </row>
    <row r="157" spans="9:9" ht="15" x14ac:dyDescent="0.4">
      <c r="I157" s="33" t="s">
        <v>35</v>
      </c>
    </row>
    <row r="158" spans="9:9" ht="15" x14ac:dyDescent="0.4">
      <c r="I158" s="33" t="s">
        <v>37</v>
      </c>
    </row>
    <row r="159" spans="9:9" ht="15" x14ac:dyDescent="0.4">
      <c r="I159" s="33" t="s">
        <v>38</v>
      </c>
    </row>
    <row r="160" spans="9:9" ht="15" x14ac:dyDescent="0.4">
      <c r="I160" s="33" t="s">
        <v>40</v>
      </c>
    </row>
    <row r="161" spans="9:9" ht="15" x14ac:dyDescent="0.4">
      <c r="I161" s="33" t="s">
        <v>60</v>
      </c>
    </row>
    <row r="162" spans="9:9" x14ac:dyDescent="0.35">
      <c r="I162" s="35"/>
    </row>
    <row r="163" spans="9:9" ht="15" x14ac:dyDescent="0.4">
      <c r="I163" s="33" t="s">
        <v>64</v>
      </c>
    </row>
    <row r="164" spans="9:9" ht="15" x14ac:dyDescent="0.4">
      <c r="I164" s="33"/>
    </row>
    <row r="165" spans="9:9" ht="15" x14ac:dyDescent="0.4">
      <c r="I165" s="33" t="s">
        <v>69</v>
      </c>
    </row>
    <row r="166" spans="9:9" ht="15" x14ac:dyDescent="0.4">
      <c r="I166" s="33" t="s">
        <v>72</v>
      </c>
    </row>
    <row r="167" spans="9:9" ht="15" x14ac:dyDescent="0.4">
      <c r="I167" s="33" t="s">
        <v>37</v>
      </c>
    </row>
    <row r="168" spans="9:9" ht="15" x14ac:dyDescent="0.4">
      <c r="I168" s="33" t="s">
        <v>76</v>
      </c>
    </row>
    <row r="169" spans="9:9" ht="15" x14ac:dyDescent="0.4">
      <c r="I169" s="33" t="s">
        <v>40</v>
      </c>
    </row>
    <row r="170" spans="9:9" ht="15" x14ac:dyDescent="0.4">
      <c r="I170" s="33" t="s">
        <v>80</v>
      </c>
    </row>
    <row r="171" spans="9:9" x14ac:dyDescent="0.35">
      <c r="I171" s="35"/>
    </row>
    <row r="172" spans="9:9" ht="15" x14ac:dyDescent="0.4">
      <c r="I172" s="33" t="s">
        <v>83</v>
      </c>
    </row>
    <row r="173" spans="9:9" ht="15" x14ac:dyDescent="0.4">
      <c r="I173" s="33"/>
    </row>
    <row r="174" spans="9:9" ht="15" x14ac:dyDescent="0.4">
      <c r="I174" s="33" t="s">
        <v>88</v>
      </c>
    </row>
    <row r="175" spans="9:9" ht="15" x14ac:dyDescent="0.4">
      <c r="I175" s="33" t="s">
        <v>35</v>
      </c>
    </row>
    <row r="176" spans="9:9" ht="15" x14ac:dyDescent="0.4">
      <c r="I176" s="33" t="s">
        <v>37</v>
      </c>
    </row>
    <row r="177" spans="9:9" ht="15" x14ac:dyDescent="0.4">
      <c r="I177" s="33" t="s">
        <v>38</v>
      </c>
    </row>
    <row r="178" spans="9:9" ht="15" x14ac:dyDescent="0.4">
      <c r="I178" s="33" t="s">
        <v>91</v>
      </c>
    </row>
    <row r="179" spans="9:9" ht="15" x14ac:dyDescent="0.4">
      <c r="I179" s="33" t="s">
        <v>94</v>
      </c>
    </row>
    <row r="180" spans="9:9" x14ac:dyDescent="0.35">
      <c r="I180" s="35"/>
    </row>
    <row r="181" spans="9:9" ht="15" x14ac:dyDescent="0.4">
      <c r="I181" s="33"/>
    </row>
    <row r="182" spans="9:9" ht="15" x14ac:dyDescent="0.4">
      <c r="I182" s="33"/>
    </row>
    <row r="183" spans="9:9" ht="15" x14ac:dyDescent="0.4">
      <c r="I183" s="33"/>
    </row>
    <row r="184" spans="9:9" ht="15" x14ac:dyDescent="0.4">
      <c r="I184" s="33"/>
    </row>
    <row r="185" spans="9:9" ht="15" x14ac:dyDescent="0.4">
      <c r="I185" s="33"/>
    </row>
    <row r="186" spans="9:9" ht="15" x14ac:dyDescent="0.4">
      <c r="I186" s="33"/>
    </row>
    <row r="187" spans="9:9" ht="15" x14ac:dyDescent="0.4">
      <c r="I187" s="33"/>
    </row>
    <row r="188" spans="9:9" ht="15" x14ac:dyDescent="0.4">
      <c r="I188" s="33"/>
    </row>
    <row r="189" spans="9:9" x14ac:dyDescent="0.35">
      <c r="I189" s="35"/>
    </row>
    <row r="190" spans="9:9" ht="15" x14ac:dyDescent="0.4">
      <c r="I190" s="33" t="s">
        <v>113</v>
      </c>
    </row>
    <row r="191" spans="9:9" ht="15" x14ac:dyDescent="0.4">
      <c r="I191" s="33"/>
    </row>
    <row r="192" spans="9:9" ht="15" x14ac:dyDescent="0.4">
      <c r="I192" s="33" t="s">
        <v>119</v>
      </c>
    </row>
    <row r="193" spans="9:9" ht="15" x14ac:dyDescent="0.4">
      <c r="I193" s="33" t="s">
        <v>35</v>
      </c>
    </row>
    <row r="194" spans="9:9" ht="15" x14ac:dyDescent="0.4">
      <c r="I194" s="33" t="s">
        <v>37</v>
      </c>
    </row>
    <row r="195" spans="9:9" ht="15" x14ac:dyDescent="0.4">
      <c r="I195" s="33" t="s">
        <v>38</v>
      </c>
    </row>
    <row r="196" spans="9:9" ht="15" x14ac:dyDescent="0.4">
      <c r="I196" s="33" t="s">
        <v>40</v>
      </c>
    </row>
    <row r="197" spans="9:9" ht="15" x14ac:dyDescent="0.4">
      <c r="I197" s="33" t="s">
        <v>130</v>
      </c>
    </row>
    <row r="198" spans="9:9" x14ac:dyDescent="0.35">
      <c r="I198" s="34"/>
    </row>
    <row r="199" spans="9:9" ht="15" x14ac:dyDescent="0.4">
      <c r="I199" s="33" t="s">
        <v>135</v>
      </c>
    </row>
    <row r="200" spans="9:9" ht="15" x14ac:dyDescent="0.4">
      <c r="I200" s="33"/>
    </row>
    <row r="201" spans="9:9" ht="15" x14ac:dyDescent="0.4">
      <c r="I201" s="33" t="s">
        <v>140</v>
      </c>
    </row>
    <row r="202" spans="9:9" ht="15" x14ac:dyDescent="0.4">
      <c r="I202" s="33" t="s">
        <v>35</v>
      </c>
    </row>
    <row r="203" spans="9:9" ht="15" x14ac:dyDescent="0.4">
      <c r="I203" s="33" t="s">
        <v>37</v>
      </c>
    </row>
    <row r="204" spans="9:9" ht="15" x14ac:dyDescent="0.4">
      <c r="I204" s="33" t="s">
        <v>38</v>
      </c>
    </row>
    <row r="205" spans="9:9" ht="15" x14ac:dyDescent="0.4">
      <c r="I205" s="33" t="s">
        <v>40</v>
      </c>
    </row>
    <row r="206" spans="9:9" ht="15" x14ac:dyDescent="0.4">
      <c r="I206" s="33" t="s">
        <v>150</v>
      </c>
    </row>
    <row r="207" spans="9:9" x14ac:dyDescent="0.35">
      <c r="I207" s="35"/>
    </row>
    <row r="208" spans="9:9" ht="15" x14ac:dyDescent="0.4">
      <c r="I208" s="33" t="s">
        <v>154</v>
      </c>
    </row>
    <row r="209" spans="9:9" ht="15" x14ac:dyDescent="0.4">
      <c r="I209" s="33"/>
    </row>
    <row r="210" spans="9:9" ht="15" x14ac:dyDescent="0.4">
      <c r="I210" s="33" t="s">
        <v>160</v>
      </c>
    </row>
    <row r="211" spans="9:9" ht="15" x14ac:dyDescent="0.4">
      <c r="I211" s="33" t="s">
        <v>35</v>
      </c>
    </row>
    <row r="212" spans="9:9" ht="15" x14ac:dyDescent="0.4">
      <c r="I212" s="33" t="s">
        <v>37</v>
      </c>
    </row>
    <row r="213" spans="9:9" ht="15" x14ac:dyDescent="0.4">
      <c r="I213" s="33" t="s">
        <v>38</v>
      </c>
    </row>
    <row r="214" spans="9:9" ht="15" x14ac:dyDescent="0.4">
      <c r="I214" s="33" t="s">
        <v>40</v>
      </c>
    </row>
    <row r="215" spans="9:9" ht="15" x14ac:dyDescent="0.4">
      <c r="I215" s="33" t="s">
        <v>168</v>
      </c>
    </row>
    <row r="216" spans="9:9" x14ac:dyDescent="0.35">
      <c r="I216" s="35"/>
    </row>
    <row r="217" spans="9:9" ht="15" x14ac:dyDescent="0.4">
      <c r="I217" s="33" t="s">
        <v>171</v>
      </c>
    </row>
    <row r="218" spans="9:9" ht="15" x14ac:dyDescent="0.4">
      <c r="I218" s="33"/>
    </row>
    <row r="219" spans="9:9" ht="15" x14ac:dyDescent="0.4">
      <c r="I219" s="33" t="s">
        <v>176</v>
      </c>
    </row>
    <row r="220" spans="9:9" ht="15" x14ac:dyDescent="0.4">
      <c r="I220" s="33" t="s">
        <v>35</v>
      </c>
    </row>
    <row r="221" spans="9:9" ht="15" x14ac:dyDescent="0.4">
      <c r="I221" s="33" t="s">
        <v>37</v>
      </c>
    </row>
    <row r="222" spans="9:9" ht="15" x14ac:dyDescent="0.4">
      <c r="I222" s="33" t="s">
        <v>38</v>
      </c>
    </row>
    <row r="223" spans="9:9" ht="15" x14ac:dyDescent="0.4">
      <c r="I223" s="33" t="s">
        <v>40</v>
      </c>
    </row>
    <row r="224" spans="9:9" ht="15" x14ac:dyDescent="0.4">
      <c r="I224" s="33" t="s">
        <v>185</v>
      </c>
    </row>
    <row r="225" spans="9:9" x14ac:dyDescent="0.35">
      <c r="I225" s="35"/>
    </row>
    <row r="226" spans="9:9" ht="15" x14ac:dyDescent="0.4">
      <c r="I226" s="33" t="s">
        <v>189</v>
      </c>
    </row>
    <row r="227" spans="9:9" ht="15" x14ac:dyDescent="0.4">
      <c r="I227" s="33"/>
    </row>
    <row r="228" spans="9:9" ht="15" x14ac:dyDescent="0.4">
      <c r="I228" s="33" t="s">
        <v>195</v>
      </c>
    </row>
    <row r="229" spans="9:9" ht="15" x14ac:dyDescent="0.4">
      <c r="I229" s="33" t="s">
        <v>127</v>
      </c>
    </row>
    <row r="230" spans="9:9" ht="15" x14ac:dyDescent="0.4">
      <c r="I230" s="33" t="s">
        <v>37</v>
      </c>
    </row>
    <row r="231" spans="9:9" ht="15" x14ac:dyDescent="0.4">
      <c r="I231" s="33" t="s">
        <v>205</v>
      </c>
    </row>
    <row r="232" spans="9:9" ht="15" x14ac:dyDescent="0.4">
      <c r="I232" s="33" t="s">
        <v>40</v>
      </c>
    </row>
    <row r="233" spans="9:9" ht="15" x14ac:dyDescent="0.4">
      <c r="I233" s="33" t="s">
        <v>211</v>
      </c>
    </row>
    <row r="234" spans="9:9" x14ac:dyDescent="0.35">
      <c r="I234" s="35"/>
    </row>
    <row r="235" spans="9:9" ht="15" x14ac:dyDescent="0.4">
      <c r="I235" s="33" t="s">
        <v>214</v>
      </c>
    </row>
    <row r="236" spans="9:9" ht="15" x14ac:dyDescent="0.4">
      <c r="I236" s="33"/>
    </row>
    <row r="237" spans="9:9" ht="15" x14ac:dyDescent="0.4">
      <c r="I237" s="33" t="s">
        <v>221</v>
      </c>
    </row>
    <row r="238" spans="9:9" ht="15" x14ac:dyDescent="0.4">
      <c r="I238" s="33" t="s">
        <v>35</v>
      </c>
    </row>
    <row r="239" spans="9:9" ht="15" x14ac:dyDescent="0.4">
      <c r="I239" s="33" t="s">
        <v>37</v>
      </c>
    </row>
    <row r="240" spans="9:9" ht="15" x14ac:dyDescent="0.4">
      <c r="I240" s="33" t="s">
        <v>38</v>
      </c>
    </row>
    <row r="241" spans="9:9" ht="15" x14ac:dyDescent="0.4">
      <c r="I241" s="33" t="s">
        <v>40</v>
      </c>
    </row>
    <row r="242" spans="9:9" ht="15" x14ac:dyDescent="0.4">
      <c r="I242" s="33" t="s">
        <v>228</v>
      </c>
    </row>
    <row r="243" spans="9:9" x14ac:dyDescent="0.35">
      <c r="I243" s="35"/>
    </row>
    <row r="244" spans="9:9" ht="15" x14ac:dyDescent="0.4">
      <c r="I244" s="42" t="s">
        <v>231</v>
      </c>
    </row>
    <row r="245" spans="9:9" ht="15" x14ac:dyDescent="0.4">
      <c r="I245" s="42" t="s">
        <v>233</v>
      </c>
    </row>
    <row r="246" spans="9:9" ht="15" x14ac:dyDescent="0.4">
      <c r="I246" s="42" t="s">
        <v>237</v>
      </c>
    </row>
    <row r="247" spans="9:9" ht="15" x14ac:dyDescent="0.4">
      <c r="I247" s="42" t="s">
        <v>239</v>
      </c>
    </row>
    <row r="248" spans="9:9" ht="15" x14ac:dyDescent="0.4">
      <c r="I248" s="42" t="s">
        <v>240</v>
      </c>
    </row>
    <row r="249" spans="9:9" x14ac:dyDescent="0.35">
      <c r="I249" s="40" t="s">
        <v>241</v>
      </c>
    </row>
    <row r="250" spans="9:9" ht="15" x14ac:dyDescent="0.4">
      <c r="I250" s="33" t="s">
        <v>242</v>
      </c>
    </row>
    <row r="251" spans="9:9" ht="15" x14ac:dyDescent="0.4">
      <c r="I251" s="33" t="s">
        <v>244</v>
      </c>
    </row>
    <row r="252" spans="9:9" ht="15" x14ac:dyDescent="0.4">
      <c r="I252" s="33" t="s">
        <v>246</v>
      </c>
    </row>
    <row r="253" spans="9:9" ht="15" x14ac:dyDescent="0.4">
      <c r="I253" s="33" t="s">
        <v>248</v>
      </c>
    </row>
    <row r="254" spans="9:9" x14ac:dyDescent="0.35">
      <c r="I254" s="35"/>
    </row>
    <row r="255" spans="9:9" ht="15" x14ac:dyDescent="0.4">
      <c r="I255" s="33" t="s">
        <v>250</v>
      </c>
    </row>
    <row r="256" spans="9:9" ht="15" x14ac:dyDescent="0.4">
      <c r="I256" s="33" t="s">
        <v>251</v>
      </c>
    </row>
    <row r="257" spans="9:9" ht="15" x14ac:dyDescent="0.4">
      <c r="I257" s="33" t="s">
        <v>252</v>
      </c>
    </row>
    <row r="258" spans="9:9" ht="15" x14ac:dyDescent="0.4">
      <c r="I258" s="33" t="s">
        <v>253</v>
      </c>
    </row>
    <row r="259" spans="9:9" ht="15" x14ac:dyDescent="0.4">
      <c r="I259" s="33" t="s">
        <v>255</v>
      </c>
    </row>
    <row r="261" spans="9:9" ht="15" x14ac:dyDescent="0.4">
      <c r="I261" s="33" t="s">
        <v>30</v>
      </c>
    </row>
    <row r="262" spans="9:9" x14ac:dyDescent="0.35">
      <c r="I262" s="34"/>
    </row>
    <row r="263" spans="9:9" ht="15" x14ac:dyDescent="0.4">
      <c r="I263" s="33" t="s">
        <v>33</v>
      </c>
    </row>
    <row r="264" spans="9:9" ht="15" x14ac:dyDescent="0.4">
      <c r="I264" s="33" t="s">
        <v>36</v>
      </c>
    </row>
    <row r="265" spans="9:9" ht="15" x14ac:dyDescent="0.4">
      <c r="I265" s="33" t="s">
        <v>37</v>
      </c>
    </row>
    <row r="266" spans="9:9" ht="15" x14ac:dyDescent="0.4">
      <c r="I266" s="33" t="s">
        <v>39</v>
      </c>
    </row>
    <row r="267" spans="9:9" ht="15" x14ac:dyDescent="0.4">
      <c r="I267" s="33" t="s">
        <v>41</v>
      </c>
    </row>
    <row r="268" spans="9:9" ht="15" x14ac:dyDescent="0.4">
      <c r="I268" s="33" t="s">
        <v>44</v>
      </c>
    </row>
    <row r="269" spans="9:9" x14ac:dyDescent="0.35">
      <c r="I269" s="34"/>
    </row>
    <row r="270" spans="9:9" ht="15" x14ac:dyDescent="0.4">
      <c r="I270" s="33" t="s">
        <v>48</v>
      </c>
    </row>
    <row r="271" spans="9:9" ht="15" x14ac:dyDescent="0.4">
      <c r="I271" s="33"/>
    </row>
    <row r="272" spans="9:9" ht="15" x14ac:dyDescent="0.4">
      <c r="I272" s="33" t="s">
        <v>51</v>
      </c>
    </row>
    <row r="273" spans="9:9" ht="15" x14ac:dyDescent="0.4">
      <c r="I273" s="33" t="s">
        <v>53</v>
      </c>
    </row>
    <row r="274" spans="9:9" ht="15" x14ac:dyDescent="0.4">
      <c r="I274" s="33" t="s">
        <v>55</v>
      </c>
    </row>
    <row r="275" spans="9:9" ht="15" x14ac:dyDescent="0.4">
      <c r="I275" s="33" t="s">
        <v>57</v>
      </c>
    </row>
    <row r="276" spans="9:9" ht="15" x14ac:dyDescent="0.4">
      <c r="I276" s="33" t="s">
        <v>40</v>
      </c>
    </row>
    <row r="277" spans="9:9" ht="15" x14ac:dyDescent="0.4">
      <c r="I277" s="33" t="s">
        <v>61</v>
      </c>
    </row>
    <row r="278" spans="9:9" x14ac:dyDescent="0.35">
      <c r="I278" s="35"/>
    </row>
    <row r="279" spans="9:9" ht="15" x14ac:dyDescent="0.4">
      <c r="I279" s="33" t="s">
        <v>65</v>
      </c>
    </row>
    <row r="280" spans="9:9" ht="15" x14ac:dyDescent="0.4">
      <c r="I280" s="33"/>
    </row>
    <row r="281" spans="9:9" ht="15" x14ac:dyDescent="0.4">
      <c r="I281" s="33" t="s">
        <v>70</v>
      </c>
    </row>
    <row r="282" spans="9:9" ht="15" x14ac:dyDescent="0.4">
      <c r="I282" s="33" t="s">
        <v>72</v>
      </c>
    </row>
    <row r="283" spans="9:9" ht="15" x14ac:dyDescent="0.4">
      <c r="I283" s="33" t="s">
        <v>74</v>
      </c>
    </row>
    <row r="284" spans="9:9" ht="15" x14ac:dyDescent="0.4">
      <c r="I284" s="33" t="s">
        <v>38</v>
      </c>
    </row>
    <row r="285" spans="9:9" ht="15" x14ac:dyDescent="0.4">
      <c r="I285" s="33" t="s">
        <v>40</v>
      </c>
    </row>
    <row r="286" spans="9:9" ht="15" x14ac:dyDescent="0.4">
      <c r="I286" s="33" t="s">
        <v>81</v>
      </c>
    </row>
    <row r="765" spans="8:8" x14ac:dyDescent="0.35">
      <c r="H765" s="36" t="s">
        <v>42</v>
      </c>
    </row>
    <row r="766" spans="8:8" x14ac:dyDescent="0.35">
      <c r="H766" s="36" t="s">
        <v>42</v>
      </c>
    </row>
    <row r="767" spans="8:8" x14ac:dyDescent="0.35">
      <c r="H767" s="36" t="s">
        <v>42</v>
      </c>
    </row>
    <row r="768" spans="8:8" x14ac:dyDescent="0.35">
      <c r="H768" s="36" t="s">
        <v>42</v>
      </c>
    </row>
    <row r="769" spans="8:8" x14ac:dyDescent="0.35">
      <c r="H769" s="36" t="s">
        <v>42</v>
      </c>
    </row>
    <row r="770" spans="8:8" x14ac:dyDescent="0.35">
      <c r="H770" s="36" t="s">
        <v>42</v>
      </c>
    </row>
    <row r="771" spans="8:8" x14ac:dyDescent="0.35">
      <c r="H771" s="36" t="s">
        <v>42</v>
      </c>
    </row>
    <row r="772" spans="8:8" x14ac:dyDescent="0.35">
      <c r="H772" s="36" t="s">
        <v>42</v>
      </c>
    </row>
    <row r="773" spans="8:8" x14ac:dyDescent="0.35">
      <c r="H773" s="36" t="s">
        <v>42</v>
      </c>
    </row>
    <row r="774" spans="8:8" x14ac:dyDescent="0.35">
      <c r="H774" s="36" t="s">
        <v>42</v>
      </c>
    </row>
    <row r="775" spans="8:8" x14ac:dyDescent="0.35">
      <c r="H775" s="36" t="s">
        <v>42</v>
      </c>
    </row>
    <row r="776" spans="8:8" x14ac:dyDescent="0.35">
      <c r="H776" s="36" t="s">
        <v>42</v>
      </c>
    </row>
    <row r="777" spans="8:8" x14ac:dyDescent="0.35">
      <c r="H777" s="36" t="s">
        <v>42</v>
      </c>
    </row>
    <row r="778" spans="8:8" x14ac:dyDescent="0.35">
      <c r="H778" s="36" t="s">
        <v>42</v>
      </c>
    </row>
    <row r="779" spans="8:8" x14ac:dyDescent="0.35">
      <c r="H779" s="36" t="s">
        <v>42</v>
      </c>
    </row>
    <row r="780" spans="8:8" x14ac:dyDescent="0.35">
      <c r="H780" s="36" t="s">
        <v>42</v>
      </c>
    </row>
    <row r="781" spans="8:8" x14ac:dyDescent="0.35">
      <c r="H781" s="36" t="s">
        <v>42</v>
      </c>
    </row>
    <row r="782" spans="8:8" x14ac:dyDescent="0.35">
      <c r="H782" s="36" t="s">
        <v>42</v>
      </c>
    </row>
    <row r="783" spans="8:8" x14ac:dyDescent="0.35">
      <c r="H783" s="36" t="s">
        <v>42</v>
      </c>
    </row>
    <row r="784" spans="8:8" x14ac:dyDescent="0.35">
      <c r="H784" s="36" t="s">
        <v>42</v>
      </c>
    </row>
    <row r="785" spans="8:8" x14ac:dyDescent="0.35">
      <c r="H785" s="36" t="s">
        <v>42</v>
      </c>
    </row>
    <row r="786" spans="8:8" x14ac:dyDescent="0.35">
      <c r="H786" s="36" t="s">
        <v>42</v>
      </c>
    </row>
    <row r="787" spans="8:8" x14ac:dyDescent="0.35">
      <c r="H787" s="36" t="s">
        <v>42</v>
      </c>
    </row>
    <row r="788" spans="8:8" x14ac:dyDescent="0.35">
      <c r="H788" s="36" t="s">
        <v>42</v>
      </c>
    </row>
    <row r="789" spans="8:8" x14ac:dyDescent="0.35">
      <c r="H789" s="36" t="s">
        <v>42</v>
      </c>
    </row>
    <row r="790" spans="8:8" x14ac:dyDescent="0.35">
      <c r="H790" s="36" t="s">
        <v>42</v>
      </c>
    </row>
    <row r="791" spans="8:8" x14ac:dyDescent="0.35">
      <c r="H791" s="36" t="s">
        <v>42</v>
      </c>
    </row>
    <row r="792" spans="8:8" x14ac:dyDescent="0.35">
      <c r="H792" s="36" t="s">
        <v>42</v>
      </c>
    </row>
    <row r="793" spans="8:8" x14ac:dyDescent="0.35">
      <c r="H793" s="36" t="s">
        <v>42</v>
      </c>
    </row>
    <row r="794" spans="8:8" x14ac:dyDescent="0.35">
      <c r="H794" s="36" t="s">
        <v>42</v>
      </c>
    </row>
    <row r="795" spans="8:8" x14ac:dyDescent="0.35">
      <c r="H795" s="36" t="s">
        <v>42</v>
      </c>
    </row>
    <row r="796" spans="8:8" x14ac:dyDescent="0.35">
      <c r="H796" s="36" t="s">
        <v>42</v>
      </c>
    </row>
    <row r="797" spans="8:8" x14ac:dyDescent="0.35">
      <c r="H797" s="36" t="s">
        <v>42</v>
      </c>
    </row>
    <row r="798" spans="8:8" x14ac:dyDescent="0.35">
      <c r="H798" s="36" t="s">
        <v>42</v>
      </c>
    </row>
    <row r="799" spans="8:8" x14ac:dyDescent="0.35">
      <c r="H799" s="36" t="s">
        <v>42</v>
      </c>
    </row>
    <row r="800" spans="8:8" x14ac:dyDescent="0.35">
      <c r="H800" s="36" t="s">
        <v>42</v>
      </c>
    </row>
    <row r="801" spans="8:8" x14ac:dyDescent="0.35">
      <c r="H801" s="36" t="s">
        <v>42</v>
      </c>
    </row>
    <row r="802" spans="8:8" x14ac:dyDescent="0.35">
      <c r="H802" s="36" t="s">
        <v>42</v>
      </c>
    </row>
    <row r="803" spans="8:8" x14ac:dyDescent="0.35">
      <c r="H803" s="36" t="s">
        <v>42</v>
      </c>
    </row>
    <row r="804" spans="8:8" x14ac:dyDescent="0.35">
      <c r="H804" s="36" t="s">
        <v>42</v>
      </c>
    </row>
    <row r="805" spans="8:8" x14ac:dyDescent="0.35">
      <c r="H805" s="36" t="s">
        <v>42</v>
      </c>
    </row>
    <row r="806" spans="8:8" x14ac:dyDescent="0.35">
      <c r="H806" s="36" t="s">
        <v>42</v>
      </c>
    </row>
    <row r="807" spans="8:8" x14ac:dyDescent="0.35">
      <c r="H807" s="36" t="s">
        <v>42</v>
      </c>
    </row>
    <row r="808" spans="8:8" x14ac:dyDescent="0.35">
      <c r="H808" s="36" t="s">
        <v>42</v>
      </c>
    </row>
    <row r="809" spans="8:8" x14ac:dyDescent="0.35">
      <c r="H809" s="36" t="s">
        <v>42</v>
      </c>
    </row>
    <row r="810" spans="8:8" x14ac:dyDescent="0.35">
      <c r="H810" s="36" t="s">
        <v>42</v>
      </c>
    </row>
    <row r="811" spans="8:8" x14ac:dyDescent="0.35">
      <c r="H811" s="36" t="s">
        <v>42</v>
      </c>
    </row>
    <row r="812" spans="8:8" x14ac:dyDescent="0.35">
      <c r="H812" s="36" t="s">
        <v>42</v>
      </c>
    </row>
    <row r="813" spans="8:8" x14ac:dyDescent="0.35">
      <c r="H813" s="36" t="s">
        <v>42</v>
      </c>
    </row>
    <row r="814" spans="8:8" x14ac:dyDescent="0.35">
      <c r="H814" s="36" t="s">
        <v>42</v>
      </c>
    </row>
    <row r="815" spans="8:8" x14ac:dyDescent="0.35">
      <c r="H815" s="36" t="s">
        <v>42</v>
      </c>
    </row>
    <row r="816" spans="8:8" x14ac:dyDescent="0.35">
      <c r="H816" s="36" t="s">
        <v>42</v>
      </c>
    </row>
    <row r="817" spans="8:8" x14ac:dyDescent="0.35">
      <c r="H817" s="36" t="s">
        <v>42</v>
      </c>
    </row>
    <row r="818" spans="8:8" x14ac:dyDescent="0.35">
      <c r="H818" s="36" t="s">
        <v>42</v>
      </c>
    </row>
    <row r="819" spans="8:8" x14ac:dyDescent="0.35">
      <c r="H819" s="36" t="s">
        <v>42</v>
      </c>
    </row>
    <row r="820" spans="8:8" x14ac:dyDescent="0.35">
      <c r="H820" s="36" t="s">
        <v>42</v>
      </c>
    </row>
    <row r="821" spans="8:8" x14ac:dyDescent="0.35">
      <c r="H821" s="36" t="s">
        <v>42</v>
      </c>
    </row>
    <row r="822" spans="8:8" x14ac:dyDescent="0.35">
      <c r="H822" s="36" t="s">
        <v>42</v>
      </c>
    </row>
    <row r="823" spans="8:8" x14ac:dyDescent="0.35">
      <c r="H823" s="36" t="s">
        <v>42</v>
      </c>
    </row>
    <row r="824" spans="8:8" x14ac:dyDescent="0.35">
      <c r="H824" s="36" t="s">
        <v>42</v>
      </c>
    </row>
    <row r="825" spans="8:8" x14ac:dyDescent="0.35">
      <c r="H825" s="36" t="s">
        <v>42</v>
      </c>
    </row>
    <row r="826" spans="8:8" x14ac:dyDescent="0.35">
      <c r="H826" s="36" t="s">
        <v>42</v>
      </c>
    </row>
    <row r="827" spans="8:8" x14ac:dyDescent="0.35">
      <c r="H827" s="36" t="s">
        <v>42</v>
      </c>
    </row>
    <row r="828" spans="8:8" x14ac:dyDescent="0.35">
      <c r="H828" s="36" t="s">
        <v>42</v>
      </c>
    </row>
    <row r="829" spans="8:8" x14ac:dyDescent="0.35">
      <c r="H829" s="36" t="s">
        <v>42</v>
      </c>
    </row>
    <row r="830" spans="8:8" x14ac:dyDescent="0.35">
      <c r="H830" s="36" t="s">
        <v>42</v>
      </c>
    </row>
    <row r="831" spans="8:8" x14ac:dyDescent="0.35">
      <c r="H831" s="36" t="s">
        <v>42</v>
      </c>
    </row>
    <row r="832" spans="8:8" x14ac:dyDescent="0.35">
      <c r="H832" s="36" t="s">
        <v>42</v>
      </c>
    </row>
    <row r="833" spans="8:8" x14ac:dyDescent="0.35">
      <c r="H833" s="36" t="s">
        <v>42</v>
      </c>
    </row>
    <row r="834" spans="8:8" x14ac:dyDescent="0.35">
      <c r="H834" s="36" t="s">
        <v>42</v>
      </c>
    </row>
    <row r="835" spans="8:8" x14ac:dyDescent="0.35">
      <c r="H835" s="36" t="s">
        <v>42</v>
      </c>
    </row>
    <row r="836" spans="8:8" x14ac:dyDescent="0.35">
      <c r="H836" s="36" t="s">
        <v>42</v>
      </c>
    </row>
    <row r="837" spans="8:8" x14ac:dyDescent="0.35">
      <c r="H837" s="36" t="s">
        <v>42</v>
      </c>
    </row>
    <row r="838" spans="8:8" x14ac:dyDescent="0.35">
      <c r="H838" s="36" t="s">
        <v>42</v>
      </c>
    </row>
    <row r="839" spans="8:8" x14ac:dyDescent="0.35">
      <c r="H839" s="36" t="s">
        <v>42</v>
      </c>
    </row>
    <row r="840" spans="8:8" x14ac:dyDescent="0.35">
      <c r="H840" s="36" t="s">
        <v>42</v>
      </c>
    </row>
    <row r="841" spans="8:8" x14ac:dyDescent="0.35">
      <c r="H841" s="36" t="s">
        <v>42</v>
      </c>
    </row>
    <row r="842" spans="8:8" x14ac:dyDescent="0.35">
      <c r="H842" s="36" t="s">
        <v>42</v>
      </c>
    </row>
    <row r="843" spans="8:8" x14ac:dyDescent="0.35">
      <c r="H843" s="36" t="s">
        <v>42</v>
      </c>
    </row>
    <row r="844" spans="8:8" x14ac:dyDescent="0.35">
      <c r="H844" s="36" t="s">
        <v>42</v>
      </c>
    </row>
    <row r="845" spans="8:8" x14ac:dyDescent="0.35">
      <c r="H845" s="36" t="s">
        <v>42</v>
      </c>
    </row>
    <row r="846" spans="8:8" x14ac:dyDescent="0.35">
      <c r="H846" s="36" t="s">
        <v>42</v>
      </c>
    </row>
    <row r="847" spans="8:8" x14ac:dyDescent="0.35">
      <c r="H847" s="36" t="s">
        <v>42</v>
      </c>
    </row>
    <row r="848" spans="8:8" x14ac:dyDescent="0.35">
      <c r="H848" s="36" t="s">
        <v>42</v>
      </c>
    </row>
    <row r="849" spans="8:8" x14ac:dyDescent="0.35">
      <c r="H849" s="36" t="s">
        <v>42</v>
      </c>
    </row>
    <row r="850" spans="8:8" x14ac:dyDescent="0.35">
      <c r="H850" s="36" t="s">
        <v>42</v>
      </c>
    </row>
    <row r="851" spans="8:8" x14ac:dyDescent="0.35">
      <c r="H851" s="36" t="s">
        <v>42</v>
      </c>
    </row>
    <row r="852" spans="8:8" x14ac:dyDescent="0.35">
      <c r="H852" s="36" t="s">
        <v>42</v>
      </c>
    </row>
    <row r="853" spans="8:8" x14ac:dyDescent="0.35">
      <c r="H853" s="36" t="s">
        <v>42</v>
      </c>
    </row>
    <row r="854" spans="8:8" x14ac:dyDescent="0.35">
      <c r="H854" s="36" t="s">
        <v>42</v>
      </c>
    </row>
    <row r="855" spans="8:8" x14ac:dyDescent="0.35">
      <c r="H855" s="36" t="s">
        <v>42</v>
      </c>
    </row>
    <row r="856" spans="8:8" x14ac:dyDescent="0.35">
      <c r="H856" s="36" t="s">
        <v>42</v>
      </c>
    </row>
    <row r="857" spans="8:8" x14ac:dyDescent="0.35">
      <c r="H857" s="36" t="s">
        <v>42</v>
      </c>
    </row>
    <row r="858" spans="8:8" x14ac:dyDescent="0.35">
      <c r="H858" s="36" t="s">
        <v>42</v>
      </c>
    </row>
    <row r="859" spans="8:8" x14ac:dyDescent="0.35">
      <c r="H859" s="36" t="s">
        <v>42</v>
      </c>
    </row>
    <row r="860" spans="8:8" x14ac:dyDescent="0.35">
      <c r="H860" s="36" t="s">
        <v>42</v>
      </c>
    </row>
    <row r="861" spans="8:8" x14ac:dyDescent="0.35">
      <c r="H861" s="36" t="s">
        <v>42</v>
      </c>
    </row>
    <row r="862" spans="8:8" x14ac:dyDescent="0.35">
      <c r="H862" s="36" t="s">
        <v>42</v>
      </c>
    </row>
    <row r="863" spans="8:8" x14ac:dyDescent="0.35">
      <c r="H863" s="36" t="s">
        <v>42</v>
      </c>
    </row>
    <row r="864" spans="8:8" x14ac:dyDescent="0.35">
      <c r="H864" s="36" t="s">
        <v>42</v>
      </c>
    </row>
    <row r="865" spans="8:8" x14ac:dyDescent="0.35">
      <c r="H865" s="36" t="s">
        <v>42</v>
      </c>
    </row>
    <row r="866" spans="8:8" x14ac:dyDescent="0.35">
      <c r="H866" s="36" t="s">
        <v>42</v>
      </c>
    </row>
    <row r="867" spans="8:8" x14ac:dyDescent="0.35">
      <c r="H867" s="36" t="s">
        <v>42</v>
      </c>
    </row>
    <row r="868" spans="8:8" x14ac:dyDescent="0.35">
      <c r="H868" s="36" t="s">
        <v>42</v>
      </c>
    </row>
    <row r="869" spans="8:8" x14ac:dyDescent="0.35">
      <c r="H869" s="36" t="s">
        <v>42</v>
      </c>
    </row>
    <row r="870" spans="8:8" x14ac:dyDescent="0.35">
      <c r="H870" s="36" t="s">
        <v>42</v>
      </c>
    </row>
    <row r="871" spans="8:8" x14ac:dyDescent="0.35">
      <c r="H871" s="36" t="s">
        <v>42</v>
      </c>
    </row>
    <row r="872" spans="8:8" x14ac:dyDescent="0.35">
      <c r="H872" s="36" t="s">
        <v>42</v>
      </c>
    </row>
    <row r="873" spans="8:8" x14ac:dyDescent="0.35">
      <c r="H873" s="36" t="s">
        <v>42</v>
      </c>
    </row>
    <row r="874" spans="8:8" x14ac:dyDescent="0.35">
      <c r="H874" s="36" t="s">
        <v>42</v>
      </c>
    </row>
    <row r="875" spans="8:8" x14ac:dyDescent="0.35">
      <c r="H875" s="36" t="s">
        <v>42</v>
      </c>
    </row>
    <row r="876" spans="8:8" x14ac:dyDescent="0.35">
      <c r="H876" s="36" t="s">
        <v>42</v>
      </c>
    </row>
    <row r="877" spans="8:8" x14ac:dyDescent="0.35">
      <c r="H877" s="36" t="s">
        <v>42</v>
      </c>
    </row>
    <row r="878" spans="8:8" x14ac:dyDescent="0.35">
      <c r="H878" s="36" t="s">
        <v>42</v>
      </c>
    </row>
    <row r="879" spans="8:8" x14ac:dyDescent="0.35">
      <c r="H879" s="36" t="s">
        <v>42</v>
      </c>
    </row>
    <row r="880" spans="8:8" x14ac:dyDescent="0.35">
      <c r="H880" s="36" t="s">
        <v>42</v>
      </c>
    </row>
    <row r="881" spans="8:8" x14ac:dyDescent="0.35">
      <c r="H881" s="36" t="s">
        <v>42</v>
      </c>
    </row>
    <row r="882" spans="8:8" x14ac:dyDescent="0.35">
      <c r="H882" s="36" t="s">
        <v>42</v>
      </c>
    </row>
    <row r="883" spans="8:8" x14ac:dyDescent="0.35">
      <c r="H883" s="36" t="s">
        <v>42</v>
      </c>
    </row>
    <row r="884" spans="8:8" x14ac:dyDescent="0.35">
      <c r="H884" s="36" t="s">
        <v>42</v>
      </c>
    </row>
    <row r="885" spans="8:8" x14ac:dyDescent="0.35">
      <c r="H885" s="36" t="s">
        <v>42</v>
      </c>
    </row>
    <row r="886" spans="8:8" x14ac:dyDescent="0.35">
      <c r="H886" s="36" t="s">
        <v>42</v>
      </c>
    </row>
    <row r="887" spans="8:8" x14ac:dyDescent="0.35">
      <c r="H887" s="36" t="s">
        <v>42</v>
      </c>
    </row>
    <row r="888" spans="8:8" x14ac:dyDescent="0.35">
      <c r="H888" s="36" t="s">
        <v>42</v>
      </c>
    </row>
    <row r="889" spans="8:8" x14ac:dyDescent="0.35">
      <c r="H889" s="36" t="s">
        <v>42</v>
      </c>
    </row>
    <row r="890" spans="8:8" x14ac:dyDescent="0.35">
      <c r="H890" s="36" t="s">
        <v>42</v>
      </c>
    </row>
    <row r="891" spans="8:8" x14ac:dyDescent="0.35">
      <c r="H891" s="36" t="s">
        <v>42</v>
      </c>
    </row>
    <row r="892" spans="8:8" x14ac:dyDescent="0.35">
      <c r="H892" s="36" t="s">
        <v>42</v>
      </c>
    </row>
    <row r="893" spans="8:8" x14ac:dyDescent="0.35">
      <c r="H893" s="36" t="s">
        <v>42</v>
      </c>
    </row>
    <row r="894" spans="8:8" x14ac:dyDescent="0.35">
      <c r="H894" s="36" t="s">
        <v>42</v>
      </c>
    </row>
    <row r="895" spans="8:8" x14ac:dyDescent="0.35">
      <c r="H895" s="36" t="s">
        <v>42</v>
      </c>
    </row>
    <row r="896" spans="8:8" x14ac:dyDescent="0.35">
      <c r="H896" s="36" t="s">
        <v>42</v>
      </c>
    </row>
    <row r="897" spans="8:8" x14ac:dyDescent="0.35">
      <c r="H897" s="36" t="s">
        <v>42</v>
      </c>
    </row>
    <row r="898" spans="8:8" x14ac:dyDescent="0.35">
      <c r="H898" s="36" t="s">
        <v>42</v>
      </c>
    </row>
    <row r="899" spans="8:8" x14ac:dyDescent="0.35">
      <c r="H899" s="36" t="s">
        <v>42</v>
      </c>
    </row>
    <row r="900" spans="8:8" x14ac:dyDescent="0.35">
      <c r="H900" s="36" t="s">
        <v>42</v>
      </c>
    </row>
    <row r="901" spans="8:8" x14ac:dyDescent="0.35">
      <c r="H901" s="36" t="s">
        <v>42</v>
      </c>
    </row>
    <row r="902" spans="8:8" x14ac:dyDescent="0.35">
      <c r="H902" s="36" t="s">
        <v>42</v>
      </c>
    </row>
    <row r="903" spans="8:8" x14ac:dyDescent="0.35">
      <c r="H903" s="36" t="s">
        <v>42</v>
      </c>
    </row>
    <row r="904" spans="8:8" x14ac:dyDescent="0.35">
      <c r="H904" s="36" t="s">
        <v>42</v>
      </c>
    </row>
    <row r="905" spans="8:8" x14ac:dyDescent="0.35">
      <c r="H905" s="36" t="s">
        <v>42</v>
      </c>
    </row>
    <row r="906" spans="8:8" x14ac:dyDescent="0.35">
      <c r="H906" s="36" t="s">
        <v>42</v>
      </c>
    </row>
    <row r="907" spans="8:8" x14ac:dyDescent="0.35">
      <c r="H907" s="36" t="s">
        <v>42</v>
      </c>
    </row>
    <row r="908" spans="8:8" x14ac:dyDescent="0.35">
      <c r="H908" s="36" t="s">
        <v>42</v>
      </c>
    </row>
    <row r="909" spans="8:8" x14ac:dyDescent="0.35">
      <c r="H909" s="36" t="s">
        <v>42</v>
      </c>
    </row>
    <row r="910" spans="8:8" x14ac:dyDescent="0.35">
      <c r="H910" s="36" t="s">
        <v>42</v>
      </c>
    </row>
    <row r="911" spans="8:8" x14ac:dyDescent="0.35">
      <c r="H911" s="36" t="s">
        <v>42</v>
      </c>
    </row>
    <row r="912" spans="8:8" x14ac:dyDescent="0.35">
      <c r="H912" s="36" t="s">
        <v>42</v>
      </c>
    </row>
    <row r="913" spans="8:8" x14ac:dyDescent="0.35">
      <c r="H913" s="36" t="s">
        <v>42</v>
      </c>
    </row>
    <row r="914" spans="8:8" x14ac:dyDescent="0.35">
      <c r="H914" s="36" t="s">
        <v>42</v>
      </c>
    </row>
    <row r="915" spans="8:8" x14ac:dyDescent="0.35">
      <c r="H915" s="36" t="s">
        <v>42</v>
      </c>
    </row>
    <row r="916" spans="8:8" x14ac:dyDescent="0.35">
      <c r="H916" s="36" t="s">
        <v>42</v>
      </c>
    </row>
    <row r="917" spans="8:8" x14ac:dyDescent="0.35">
      <c r="H917" s="36" t="s">
        <v>42</v>
      </c>
    </row>
    <row r="918" spans="8:8" x14ac:dyDescent="0.35">
      <c r="H918" s="36" t="s">
        <v>42</v>
      </c>
    </row>
    <row r="919" spans="8:8" x14ac:dyDescent="0.35">
      <c r="H919" s="36" t="s">
        <v>42</v>
      </c>
    </row>
    <row r="920" spans="8:8" x14ac:dyDescent="0.35">
      <c r="H920" s="36" t="s">
        <v>42</v>
      </c>
    </row>
    <row r="921" spans="8:8" x14ac:dyDescent="0.35">
      <c r="H921" s="36" t="s">
        <v>42</v>
      </c>
    </row>
    <row r="922" spans="8:8" x14ac:dyDescent="0.35">
      <c r="H922" s="36" t="s">
        <v>42</v>
      </c>
    </row>
    <row r="923" spans="8:8" x14ac:dyDescent="0.35">
      <c r="H923" s="36" t="s">
        <v>42</v>
      </c>
    </row>
    <row r="924" spans="8:8" x14ac:dyDescent="0.35">
      <c r="H924" s="36" t="s">
        <v>42</v>
      </c>
    </row>
    <row r="925" spans="8:8" x14ac:dyDescent="0.35">
      <c r="H925" s="36" t="s">
        <v>42</v>
      </c>
    </row>
    <row r="926" spans="8:8" x14ac:dyDescent="0.35">
      <c r="H926" s="36" t="s">
        <v>42</v>
      </c>
    </row>
    <row r="927" spans="8:8" x14ac:dyDescent="0.35">
      <c r="H927" s="36" t="s">
        <v>42</v>
      </c>
    </row>
    <row r="928" spans="8:8" x14ac:dyDescent="0.35">
      <c r="H928" s="36" t="s">
        <v>42</v>
      </c>
    </row>
    <row r="929" spans="8:8" x14ac:dyDescent="0.35">
      <c r="H929" s="36" t="s">
        <v>42</v>
      </c>
    </row>
    <row r="930" spans="8:8" x14ac:dyDescent="0.35">
      <c r="H930" s="36" t="s">
        <v>42</v>
      </c>
    </row>
    <row r="931" spans="8:8" x14ac:dyDescent="0.35">
      <c r="H931" s="36" t="s">
        <v>42</v>
      </c>
    </row>
    <row r="932" spans="8:8" x14ac:dyDescent="0.35">
      <c r="H932" s="36" t="s">
        <v>42</v>
      </c>
    </row>
    <row r="933" spans="8:8" x14ac:dyDescent="0.35">
      <c r="H933" s="36" t="s">
        <v>42</v>
      </c>
    </row>
    <row r="934" spans="8:8" x14ac:dyDescent="0.35">
      <c r="H934" s="36" t="s">
        <v>42</v>
      </c>
    </row>
    <row r="935" spans="8:8" x14ac:dyDescent="0.35">
      <c r="H935" s="36" t="s">
        <v>42</v>
      </c>
    </row>
    <row r="936" spans="8:8" x14ac:dyDescent="0.35">
      <c r="H936" s="36" t="s">
        <v>42</v>
      </c>
    </row>
    <row r="937" spans="8:8" x14ac:dyDescent="0.35">
      <c r="H937" s="36" t="s">
        <v>42</v>
      </c>
    </row>
    <row r="938" spans="8:8" x14ac:dyDescent="0.35">
      <c r="H938" s="36" t="s">
        <v>42</v>
      </c>
    </row>
    <row r="939" spans="8:8" x14ac:dyDescent="0.35">
      <c r="H939" s="36" t="s">
        <v>42</v>
      </c>
    </row>
    <row r="940" spans="8:8" x14ac:dyDescent="0.35">
      <c r="H940" s="36" t="s">
        <v>42</v>
      </c>
    </row>
    <row r="941" spans="8:8" x14ac:dyDescent="0.35">
      <c r="H941" s="36" t="s">
        <v>42</v>
      </c>
    </row>
    <row r="942" spans="8:8" x14ac:dyDescent="0.35">
      <c r="H942" s="36" t="s">
        <v>42</v>
      </c>
    </row>
    <row r="943" spans="8:8" x14ac:dyDescent="0.35">
      <c r="H943" s="36" t="s">
        <v>42</v>
      </c>
    </row>
    <row r="944" spans="8:8" x14ac:dyDescent="0.35">
      <c r="H944" s="36" t="s">
        <v>42</v>
      </c>
    </row>
    <row r="945" spans="8:8" x14ac:dyDescent="0.35">
      <c r="H945" s="36" t="s">
        <v>42</v>
      </c>
    </row>
    <row r="946" spans="8:8" x14ac:dyDescent="0.35">
      <c r="H946" s="36" t="s">
        <v>42</v>
      </c>
    </row>
    <row r="947" spans="8:8" x14ac:dyDescent="0.35">
      <c r="H947" s="36" t="s">
        <v>42</v>
      </c>
    </row>
    <row r="948" spans="8:8" x14ac:dyDescent="0.35">
      <c r="H948" s="36" t="s">
        <v>42</v>
      </c>
    </row>
    <row r="949" spans="8:8" x14ac:dyDescent="0.35">
      <c r="H949" s="36" t="s">
        <v>42</v>
      </c>
    </row>
    <row r="950" spans="8:8" x14ac:dyDescent="0.35">
      <c r="H950" s="36" t="s">
        <v>42</v>
      </c>
    </row>
    <row r="951" spans="8:8" x14ac:dyDescent="0.35">
      <c r="H951" s="36" t="s">
        <v>42</v>
      </c>
    </row>
    <row r="952" spans="8:8" x14ac:dyDescent="0.35">
      <c r="H952" s="36" t="s">
        <v>42</v>
      </c>
    </row>
    <row r="953" spans="8:8" x14ac:dyDescent="0.35">
      <c r="H953" s="36" t="s">
        <v>42</v>
      </c>
    </row>
    <row r="954" spans="8:8" x14ac:dyDescent="0.35">
      <c r="H954" s="36" t="s">
        <v>42</v>
      </c>
    </row>
    <row r="955" spans="8:8" x14ac:dyDescent="0.35">
      <c r="H955" s="36" t="s">
        <v>42</v>
      </c>
    </row>
    <row r="956" spans="8:8" x14ac:dyDescent="0.35">
      <c r="H956" s="36" t="s">
        <v>42</v>
      </c>
    </row>
    <row r="957" spans="8:8" x14ac:dyDescent="0.35">
      <c r="H957" s="36" t="s">
        <v>42</v>
      </c>
    </row>
    <row r="958" spans="8:8" x14ac:dyDescent="0.35">
      <c r="H958" s="36" t="s">
        <v>42</v>
      </c>
    </row>
    <row r="959" spans="8:8" x14ac:dyDescent="0.35">
      <c r="H959" s="36" t="s">
        <v>42</v>
      </c>
    </row>
    <row r="960" spans="8:8" x14ac:dyDescent="0.35">
      <c r="H960" s="36" t="s">
        <v>42</v>
      </c>
    </row>
    <row r="961" spans="8:8" x14ac:dyDescent="0.35">
      <c r="H961" s="36" t="s">
        <v>42</v>
      </c>
    </row>
    <row r="962" spans="8:8" x14ac:dyDescent="0.35">
      <c r="H962" s="36" t="s">
        <v>42</v>
      </c>
    </row>
    <row r="963" spans="8:8" x14ac:dyDescent="0.35">
      <c r="H963" s="36" t="s">
        <v>42</v>
      </c>
    </row>
    <row r="964" spans="8:8" x14ac:dyDescent="0.35">
      <c r="H964" s="36" t="s">
        <v>42</v>
      </c>
    </row>
    <row r="965" spans="8:8" x14ac:dyDescent="0.35">
      <c r="H965" s="36" t="s">
        <v>42</v>
      </c>
    </row>
    <row r="966" spans="8:8" x14ac:dyDescent="0.35">
      <c r="H966" s="36" t="s">
        <v>42</v>
      </c>
    </row>
    <row r="967" spans="8:8" x14ac:dyDescent="0.35">
      <c r="H967" s="36" t="s">
        <v>42</v>
      </c>
    </row>
    <row r="968" spans="8:8" x14ac:dyDescent="0.35">
      <c r="H968" s="36" t="s">
        <v>42</v>
      </c>
    </row>
    <row r="969" spans="8:8" x14ac:dyDescent="0.35">
      <c r="H969" s="36" t="s">
        <v>42</v>
      </c>
    </row>
    <row r="970" spans="8:8" x14ac:dyDescent="0.35">
      <c r="H970" s="36" t="s">
        <v>42</v>
      </c>
    </row>
    <row r="971" spans="8:8" x14ac:dyDescent="0.35">
      <c r="H971" s="36" t="s">
        <v>42</v>
      </c>
    </row>
    <row r="972" spans="8:8" x14ac:dyDescent="0.35">
      <c r="H972" s="36" t="s">
        <v>42</v>
      </c>
    </row>
    <row r="973" spans="8:8" x14ac:dyDescent="0.35">
      <c r="H973" s="36" t="s">
        <v>42</v>
      </c>
    </row>
    <row r="974" spans="8:8" x14ac:dyDescent="0.35">
      <c r="H974" s="36" t="s">
        <v>42</v>
      </c>
    </row>
    <row r="975" spans="8:8" x14ac:dyDescent="0.35">
      <c r="H975" s="36" t="s">
        <v>42</v>
      </c>
    </row>
    <row r="976" spans="8:8" x14ac:dyDescent="0.35">
      <c r="H976" s="36" t="s">
        <v>42</v>
      </c>
    </row>
    <row r="977" spans="8:8" x14ac:dyDescent="0.35">
      <c r="H977" s="36" t="s">
        <v>42</v>
      </c>
    </row>
    <row r="978" spans="8:8" x14ac:dyDescent="0.35">
      <c r="H978" s="36" t="s">
        <v>42</v>
      </c>
    </row>
    <row r="979" spans="8:8" x14ac:dyDescent="0.35">
      <c r="H979" s="36" t="s">
        <v>42</v>
      </c>
    </row>
    <row r="980" spans="8:8" x14ac:dyDescent="0.35">
      <c r="H980" s="36" t="s">
        <v>42</v>
      </c>
    </row>
    <row r="981" spans="8:8" x14ac:dyDescent="0.35">
      <c r="H981" s="36" t="s">
        <v>42</v>
      </c>
    </row>
    <row r="982" spans="8:8" x14ac:dyDescent="0.35">
      <c r="H982" s="36" t="s">
        <v>42</v>
      </c>
    </row>
    <row r="983" spans="8:8" x14ac:dyDescent="0.35">
      <c r="H983" s="36" t="s">
        <v>42</v>
      </c>
    </row>
    <row r="984" spans="8:8" x14ac:dyDescent="0.35">
      <c r="H984" s="36" t="s">
        <v>42</v>
      </c>
    </row>
    <row r="985" spans="8:8" x14ac:dyDescent="0.35">
      <c r="H985" s="36" t="s">
        <v>42</v>
      </c>
    </row>
    <row r="986" spans="8:8" x14ac:dyDescent="0.35">
      <c r="H986" s="36" t="s">
        <v>42</v>
      </c>
    </row>
    <row r="987" spans="8:8" x14ac:dyDescent="0.35">
      <c r="H987" s="36" t="s">
        <v>42</v>
      </c>
    </row>
    <row r="988" spans="8:8" x14ac:dyDescent="0.35">
      <c r="H988" s="36" t="s">
        <v>42</v>
      </c>
    </row>
    <row r="989" spans="8:8" x14ac:dyDescent="0.35">
      <c r="H989" s="36" t="s">
        <v>42</v>
      </c>
    </row>
    <row r="990" spans="8:8" x14ac:dyDescent="0.35">
      <c r="H990" s="36" t="s">
        <v>42</v>
      </c>
    </row>
    <row r="991" spans="8:8" x14ac:dyDescent="0.35">
      <c r="H991" s="36" t="s">
        <v>42</v>
      </c>
    </row>
    <row r="992" spans="8:8" x14ac:dyDescent="0.35">
      <c r="H992" s="36" t="s">
        <v>42</v>
      </c>
    </row>
    <row r="993" spans="8:8" x14ac:dyDescent="0.35">
      <c r="H993" s="36" t="s">
        <v>42</v>
      </c>
    </row>
    <row r="994" spans="8:8" x14ac:dyDescent="0.35">
      <c r="H994" s="36" t="s">
        <v>42</v>
      </c>
    </row>
    <row r="995" spans="8:8" x14ac:dyDescent="0.35">
      <c r="H995" s="36" t="s">
        <v>42</v>
      </c>
    </row>
    <row r="996" spans="8:8" x14ac:dyDescent="0.35">
      <c r="H996" s="36" t="s">
        <v>42</v>
      </c>
    </row>
    <row r="997" spans="8:8" x14ac:dyDescent="0.35">
      <c r="H997" s="36" t="s">
        <v>42</v>
      </c>
    </row>
    <row r="998" spans="8:8" x14ac:dyDescent="0.35">
      <c r="H998" s="36" t="s">
        <v>42</v>
      </c>
    </row>
    <row r="999" spans="8:8" x14ac:dyDescent="0.35">
      <c r="H999" s="36" t="s">
        <v>42</v>
      </c>
    </row>
    <row r="1000" spans="8:8" x14ac:dyDescent="0.35">
      <c r="H1000" s="36" t="s">
        <v>42</v>
      </c>
    </row>
    <row r="1001" spans="8:8" x14ac:dyDescent="0.35">
      <c r="H1001" s="36" t="s">
        <v>42</v>
      </c>
    </row>
    <row r="1002" spans="8:8" x14ac:dyDescent="0.35">
      <c r="H1002" s="36" t="s">
        <v>42</v>
      </c>
    </row>
    <row r="1003" spans="8:8" x14ac:dyDescent="0.35">
      <c r="H1003" s="36" t="s">
        <v>42</v>
      </c>
    </row>
    <row r="1004" spans="8:8" x14ac:dyDescent="0.35">
      <c r="H1004" s="36" t="s">
        <v>42</v>
      </c>
    </row>
    <row r="1005" spans="8:8" x14ac:dyDescent="0.35">
      <c r="H1005" s="36" t="s">
        <v>42</v>
      </c>
    </row>
    <row r="1006" spans="8:8" x14ac:dyDescent="0.35">
      <c r="H1006" s="36" t="s">
        <v>42</v>
      </c>
    </row>
    <row r="1007" spans="8:8" x14ac:dyDescent="0.35">
      <c r="H1007" s="36" t="s">
        <v>42</v>
      </c>
    </row>
    <row r="1008" spans="8:8" x14ac:dyDescent="0.35">
      <c r="H1008" s="36" t="s">
        <v>42</v>
      </c>
    </row>
    <row r="1009" spans="8:8" x14ac:dyDescent="0.35">
      <c r="H1009" s="36" t="s">
        <v>42</v>
      </c>
    </row>
    <row r="1010" spans="8:8" x14ac:dyDescent="0.35">
      <c r="H1010" s="36" t="s">
        <v>42</v>
      </c>
    </row>
    <row r="1011" spans="8:8" x14ac:dyDescent="0.35">
      <c r="H1011" s="36" t="s">
        <v>42</v>
      </c>
    </row>
    <row r="1012" spans="8:8" x14ac:dyDescent="0.35">
      <c r="H1012" s="36" t="s">
        <v>42</v>
      </c>
    </row>
    <row r="1013" spans="8:8" x14ac:dyDescent="0.35">
      <c r="H1013" s="36" t="s">
        <v>42</v>
      </c>
    </row>
    <row r="1014" spans="8:8" x14ac:dyDescent="0.35">
      <c r="H1014" s="36" t="s">
        <v>42</v>
      </c>
    </row>
    <row r="1015" spans="8:8" x14ac:dyDescent="0.35">
      <c r="H1015" s="36" t="s">
        <v>42</v>
      </c>
    </row>
    <row r="1016" spans="8:8" x14ac:dyDescent="0.35">
      <c r="H1016" s="36" t="s">
        <v>42</v>
      </c>
    </row>
    <row r="1017" spans="8:8" x14ac:dyDescent="0.35">
      <c r="H1017" s="36" t="s">
        <v>42</v>
      </c>
    </row>
    <row r="1018" spans="8:8" x14ac:dyDescent="0.35">
      <c r="H1018" s="36" t="s">
        <v>42</v>
      </c>
    </row>
    <row r="1019" spans="8:8" x14ac:dyDescent="0.35">
      <c r="H1019" s="36" t="s">
        <v>42</v>
      </c>
    </row>
    <row r="1020" spans="8:8" x14ac:dyDescent="0.35">
      <c r="H1020" s="36" t="s">
        <v>42</v>
      </c>
    </row>
    <row r="1021" spans="8:8" x14ac:dyDescent="0.35">
      <c r="H1021" s="36" t="s">
        <v>42</v>
      </c>
    </row>
    <row r="1022" spans="8:8" x14ac:dyDescent="0.35">
      <c r="H1022" s="36" t="s">
        <v>42</v>
      </c>
    </row>
    <row r="1023" spans="8:8" x14ac:dyDescent="0.35">
      <c r="H1023" s="36" t="s">
        <v>42</v>
      </c>
    </row>
    <row r="1024" spans="8:8" x14ac:dyDescent="0.35">
      <c r="H1024" s="36" t="s">
        <v>42</v>
      </c>
    </row>
    <row r="1025" spans="8:8" x14ac:dyDescent="0.35">
      <c r="H1025" s="36" t="s">
        <v>42</v>
      </c>
    </row>
    <row r="1026" spans="8:8" x14ac:dyDescent="0.35">
      <c r="H1026" s="36" t="s">
        <v>42</v>
      </c>
    </row>
    <row r="1027" spans="8:8" x14ac:dyDescent="0.35">
      <c r="H1027" s="36" t="s">
        <v>42</v>
      </c>
    </row>
    <row r="1028" spans="8:8" x14ac:dyDescent="0.35">
      <c r="H1028" s="36" t="s">
        <v>42</v>
      </c>
    </row>
    <row r="1029" spans="8:8" x14ac:dyDescent="0.35">
      <c r="H1029" s="36" t="s">
        <v>42</v>
      </c>
    </row>
    <row r="1030" spans="8:8" x14ac:dyDescent="0.35">
      <c r="H1030" s="36" t="s">
        <v>42</v>
      </c>
    </row>
    <row r="1031" spans="8:8" x14ac:dyDescent="0.35">
      <c r="H1031" s="36" t="s">
        <v>42</v>
      </c>
    </row>
    <row r="1032" spans="8:8" x14ac:dyDescent="0.35">
      <c r="H1032" s="36" t="s">
        <v>42</v>
      </c>
    </row>
    <row r="1033" spans="8:8" x14ac:dyDescent="0.35">
      <c r="H1033" s="36" t="s">
        <v>42</v>
      </c>
    </row>
    <row r="1034" spans="8:8" x14ac:dyDescent="0.35">
      <c r="H1034" s="36" t="s">
        <v>42</v>
      </c>
    </row>
    <row r="1035" spans="8:8" x14ac:dyDescent="0.35">
      <c r="H1035" s="36" t="s">
        <v>42</v>
      </c>
    </row>
    <row r="1036" spans="8:8" x14ac:dyDescent="0.35">
      <c r="H1036" s="36" t="s">
        <v>42</v>
      </c>
    </row>
    <row r="1037" spans="8:8" x14ac:dyDescent="0.35">
      <c r="H1037" s="36" t="s">
        <v>42</v>
      </c>
    </row>
    <row r="1038" spans="8:8" x14ac:dyDescent="0.35">
      <c r="H1038" s="36" t="s">
        <v>42</v>
      </c>
    </row>
    <row r="1039" spans="8:8" x14ac:dyDescent="0.35">
      <c r="H1039" s="36" t="s">
        <v>42</v>
      </c>
    </row>
    <row r="1040" spans="8:8" x14ac:dyDescent="0.35">
      <c r="H1040" s="36" t="s">
        <v>42</v>
      </c>
    </row>
    <row r="1041" spans="8:8" x14ac:dyDescent="0.35">
      <c r="H1041" s="36" t="s">
        <v>42</v>
      </c>
    </row>
    <row r="1042" spans="8:8" x14ac:dyDescent="0.35">
      <c r="H1042" s="36" t="s">
        <v>42</v>
      </c>
    </row>
    <row r="1043" spans="8:8" x14ac:dyDescent="0.35">
      <c r="H1043" s="36" t="s">
        <v>42</v>
      </c>
    </row>
    <row r="1044" spans="8:8" x14ac:dyDescent="0.35">
      <c r="H1044" s="36" t="s">
        <v>42</v>
      </c>
    </row>
    <row r="1045" spans="8:8" x14ac:dyDescent="0.35">
      <c r="H1045" s="36" t="s">
        <v>42</v>
      </c>
    </row>
    <row r="1046" spans="8:8" x14ac:dyDescent="0.35">
      <c r="H1046" s="36" t="s">
        <v>42</v>
      </c>
    </row>
    <row r="1047" spans="8:8" x14ac:dyDescent="0.35">
      <c r="H1047" s="36" t="s">
        <v>42</v>
      </c>
    </row>
    <row r="1048" spans="8:8" x14ac:dyDescent="0.35">
      <c r="H1048" s="36" t="s">
        <v>42</v>
      </c>
    </row>
    <row r="1049" spans="8:8" x14ac:dyDescent="0.35">
      <c r="H1049" s="36" t="s">
        <v>42</v>
      </c>
    </row>
    <row r="1050" spans="8:8" x14ac:dyDescent="0.35">
      <c r="H1050" s="36" t="s">
        <v>42</v>
      </c>
    </row>
    <row r="1051" spans="8:8" x14ac:dyDescent="0.35">
      <c r="H1051" s="36" t="s">
        <v>42</v>
      </c>
    </row>
    <row r="1052" spans="8:8" x14ac:dyDescent="0.35">
      <c r="H1052" s="36" t="s">
        <v>42</v>
      </c>
    </row>
    <row r="1053" spans="8:8" x14ac:dyDescent="0.35">
      <c r="H1053" s="36" t="s">
        <v>42</v>
      </c>
    </row>
    <row r="1054" spans="8:8" x14ac:dyDescent="0.35">
      <c r="H1054" s="36" t="s">
        <v>42</v>
      </c>
    </row>
    <row r="1055" spans="8:8" x14ac:dyDescent="0.35">
      <c r="H1055" s="36" t="s">
        <v>42</v>
      </c>
    </row>
    <row r="1056" spans="8:8" x14ac:dyDescent="0.35">
      <c r="H1056" s="36" t="s">
        <v>42</v>
      </c>
    </row>
    <row r="1057" spans="8:8" x14ac:dyDescent="0.35">
      <c r="H1057" s="36" t="s">
        <v>42</v>
      </c>
    </row>
    <row r="1058" spans="8:8" x14ac:dyDescent="0.35">
      <c r="H1058" s="36" t="s">
        <v>42</v>
      </c>
    </row>
    <row r="1059" spans="8:8" x14ac:dyDescent="0.35">
      <c r="H1059" s="36" t="s">
        <v>42</v>
      </c>
    </row>
    <row r="1060" spans="8:8" x14ac:dyDescent="0.35">
      <c r="H1060" s="36" t="s">
        <v>42</v>
      </c>
    </row>
    <row r="1061" spans="8:8" x14ac:dyDescent="0.35">
      <c r="H1061" s="36" t="s">
        <v>42</v>
      </c>
    </row>
    <row r="1062" spans="8:8" x14ac:dyDescent="0.35">
      <c r="H1062" s="36" t="s">
        <v>42</v>
      </c>
    </row>
    <row r="1063" spans="8:8" x14ac:dyDescent="0.35">
      <c r="H1063" s="36" t="s">
        <v>42</v>
      </c>
    </row>
    <row r="1064" spans="8:8" x14ac:dyDescent="0.35">
      <c r="H1064" s="36" t="s">
        <v>42</v>
      </c>
    </row>
    <row r="1065" spans="8:8" x14ac:dyDescent="0.35">
      <c r="H1065" s="36" t="s">
        <v>42</v>
      </c>
    </row>
    <row r="1066" spans="8:8" x14ac:dyDescent="0.35">
      <c r="H1066" s="36" t="s">
        <v>42</v>
      </c>
    </row>
    <row r="1067" spans="8:8" x14ac:dyDescent="0.35">
      <c r="H1067" s="36" t="s">
        <v>42</v>
      </c>
    </row>
    <row r="1068" spans="8:8" x14ac:dyDescent="0.35">
      <c r="H1068" s="36" t="s">
        <v>42</v>
      </c>
    </row>
    <row r="1069" spans="8:8" x14ac:dyDescent="0.35">
      <c r="H1069" s="36" t="s">
        <v>42</v>
      </c>
    </row>
    <row r="1070" spans="8:8" x14ac:dyDescent="0.35">
      <c r="H1070" s="36" t="s">
        <v>42</v>
      </c>
    </row>
    <row r="1071" spans="8:8" x14ac:dyDescent="0.35">
      <c r="H1071" s="36" t="s">
        <v>42</v>
      </c>
    </row>
    <row r="1072" spans="8:8" x14ac:dyDescent="0.35">
      <c r="H1072" s="36" t="s">
        <v>42</v>
      </c>
    </row>
    <row r="1073" spans="8:8" x14ac:dyDescent="0.35">
      <c r="H1073" s="36" t="s">
        <v>42</v>
      </c>
    </row>
    <row r="1074" spans="8:8" x14ac:dyDescent="0.35">
      <c r="H1074" s="36" t="s">
        <v>42</v>
      </c>
    </row>
    <row r="1075" spans="8:8" x14ac:dyDescent="0.35">
      <c r="H1075" s="36" t="s">
        <v>42</v>
      </c>
    </row>
    <row r="1076" spans="8:8" x14ac:dyDescent="0.35">
      <c r="H1076" s="36" t="s">
        <v>42</v>
      </c>
    </row>
    <row r="1077" spans="8:8" x14ac:dyDescent="0.35">
      <c r="H1077" s="36" t="s">
        <v>42</v>
      </c>
    </row>
    <row r="1078" spans="8:8" x14ac:dyDescent="0.35">
      <c r="H1078" s="36" t="s">
        <v>42</v>
      </c>
    </row>
    <row r="1079" spans="8:8" x14ac:dyDescent="0.35">
      <c r="H1079" s="36" t="s">
        <v>42</v>
      </c>
    </row>
    <row r="1080" spans="8:8" x14ac:dyDescent="0.35">
      <c r="H1080" s="36" t="s">
        <v>42</v>
      </c>
    </row>
    <row r="1081" spans="8:8" x14ac:dyDescent="0.35">
      <c r="H1081" s="36" t="s">
        <v>42</v>
      </c>
    </row>
    <row r="1082" spans="8:8" x14ac:dyDescent="0.35">
      <c r="H1082" s="36" t="s">
        <v>42</v>
      </c>
    </row>
    <row r="1083" spans="8:8" x14ac:dyDescent="0.35">
      <c r="H1083" s="36" t="s">
        <v>42</v>
      </c>
    </row>
    <row r="1084" spans="8:8" x14ac:dyDescent="0.35">
      <c r="H1084" s="36" t="s">
        <v>42</v>
      </c>
    </row>
    <row r="1085" spans="8:8" x14ac:dyDescent="0.35">
      <c r="H1085" s="36" t="s">
        <v>42</v>
      </c>
    </row>
    <row r="1086" spans="8:8" x14ac:dyDescent="0.35">
      <c r="H1086" s="36" t="s">
        <v>42</v>
      </c>
    </row>
    <row r="1087" spans="8:8" x14ac:dyDescent="0.35">
      <c r="H1087" s="36" t="s">
        <v>42</v>
      </c>
    </row>
    <row r="1088" spans="8:8" x14ac:dyDescent="0.35">
      <c r="H1088" s="36" t="s">
        <v>42</v>
      </c>
    </row>
    <row r="1089" spans="8:8" x14ac:dyDescent="0.35">
      <c r="H1089" s="36" t="s">
        <v>42</v>
      </c>
    </row>
    <row r="1090" spans="8:8" x14ac:dyDescent="0.35">
      <c r="H1090" s="36" t="s">
        <v>42</v>
      </c>
    </row>
    <row r="1091" spans="8:8" x14ac:dyDescent="0.35">
      <c r="H1091" s="36" t="s">
        <v>42</v>
      </c>
    </row>
    <row r="1092" spans="8:8" x14ac:dyDescent="0.35">
      <c r="H1092" s="36" t="s">
        <v>42</v>
      </c>
    </row>
    <row r="1093" spans="8:8" x14ac:dyDescent="0.35">
      <c r="H1093" s="36" t="s">
        <v>42</v>
      </c>
    </row>
    <row r="1094" spans="8:8" x14ac:dyDescent="0.35">
      <c r="H1094" s="36" t="s">
        <v>42</v>
      </c>
    </row>
    <row r="1095" spans="8:8" x14ac:dyDescent="0.35">
      <c r="H1095" s="36" t="s">
        <v>42</v>
      </c>
    </row>
    <row r="1096" spans="8:8" x14ac:dyDescent="0.35">
      <c r="H1096" s="36" t="s">
        <v>42</v>
      </c>
    </row>
    <row r="1097" spans="8:8" x14ac:dyDescent="0.35">
      <c r="H1097" s="36" t="s">
        <v>42</v>
      </c>
    </row>
    <row r="1098" spans="8:8" x14ac:dyDescent="0.35">
      <c r="H1098" s="36" t="s">
        <v>42</v>
      </c>
    </row>
    <row r="1099" spans="8:8" x14ac:dyDescent="0.35">
      <c r="H1099" s="36" t="s">
        <v>42</v>
      </c>
    </row>
    <row r="1100" spans="8:8" x14ac:dyDescent="0.35">
      <c r="H1100" s="36" t="s">
        <v>42</v>
      </c>
    </row>
    <row r="1101" spans="8:8" x14ac:dyDescent="0.35">
      <c r="H1101" s="36" t="s">
        <v>42</v>
      </c>
    </row>
    <row r="1102" spans="8:8" x14ac:dyDescent="0.35">
      <c r="H1102" s="36" t="s">
        <v>42</v>
      </c>
    </row>
    <row r="1103" spans="8:8" x14ac:dyDescent="0.35">
      <c r="H1103" s="36" t="s">
        <v>42</v>
      </c>
    </row>
    <row r="1104" spans="8:8" x14ac:dyDescent="0.35">
      <c r="H1104" s="36" t="s">
        <v>42</v>
      </c>
    </row>
    <row r="1105" spans="8:8" x14ac:dyDescent="0.35">
      <c r="H1105" s="36" t="s">
        <v>42</v>
      </c>
    </row>
    <row r="1106" spans="8:8" x14ac:dyDescent="0.35">
      <c r="H1106" s="36" t="s">
        <v>42</v>
      </c>
    </row>
    <row r="1107" spans="8:8" x14ac:dyDescent="0.35">
      <c r="H1107" s="36" t="s">
        <v>42</v>
      </c>
    </row>
    <row r="1108" spans="8:8" x14ac:dyDescent="0.35">
      <c r="H1108" s="36" t="s">
        <v>42</v>
      </c>
    </row>
    <row r="1109" spans="8:8" x14ac:dyDescent="0.35">
      <c r="H1109" s="36" t="s">
        <v>42</v>
      </c>
    </row>
    <row r="1110" spans="8:8" x14ac:dyDescent="0.35">
      <c r="H1110" s="36" t="s">
        <v>42</v>
      </c>
    </row>
    <row r="1111" spans="8:8" x14ac:dyDescent="0.35">
      <c r="H1111" s="36" t="s">
        <v>42</v>
      </c>
    </row>
    <row r="1112" spans="8:8" x14ac:dyDescent="0.35">
      <c r="H1112" s="36" t="s">
        <v>42</v>
      </c>
    </row>
    <row r="1113" spans="8:8" x14ac:dyDescent="0.35">
      <c r="H1113" s="36" t="s">
        <v>42</v>
      </c>
    </row>
    <row r="1114" spans="8:8" x14ac:dyDescent="0.35">
      <c r="H1114" s="36" t="s">
        <v>42</v>
      </c>
    </row>
    <row r="1115" spans="8:8" x14ac:dyDescent="0.35">
      <c r="H1115" s="36" t="s">
        <v>42</v>
      </c>
    </row>
    <row r="1116" spans="8:8" x14ac:dyDescent="0.35">
      <c r="H1116" s="36" t="s">
        <v>42</v>
      </c>
    </row>
    <row r="1117" spans="8:8" x14ac:dyDescent="0.35">
      <c r="H1117" s="36" t="s">
        <v>42</v>
      </c>
    </row>
    <row r="1118" spans="8:8" x14ac:dyDescent="0.35">
      <c r="H1118" s="36" t="s">
        <v>42</v>
      </c>
    </row>
    <row r="1119" spans="8:8" x14ac:dyDescent="0.35">
      <c r="H1119" s="36" t="s">
        <v>42</v>
      </c>
    </row>
    <row r="1120" spans="8:8" x14ac:dyDescent="0.35">
      <c r="H1120" s="36" t="s">
        <v>42</v>
      </c>
    </row>
    <row r="1121" spans="8:8" x14ac:dyDescent="0.35">
      <c r="H1121" s="36" t="s">
        <v>42</v>
      </c>
    </row>
    <row r="1122" spans="8:8" x14ac:dyDescent="0.35">
      <c r="H1122" s="36" t="s">
        <v>42</v>
      </c>
    </row>
    <row r="1123" spans="8:8" x14ac:dyDescent="0.35">
      <c r="H1123" s="36" t="s">
        <v>42</v>
      </c>
    </row>
    <row r="1124" spans="8:8" x14ac:dyDescent="0.35">
      <c r="H1124" s="36" t="s">
        <v>42</v>
      </c>
    </row>
    <row r="1125" spans="8:8" x14ac:dyDescent="0.35">
      <c r="H1125" s="36" t="s">
        <v>42</v>
      </c>
    </row>
    <row r="1126" spans="8:8" x14ac:dyDescent="0.35">
      <c r="H1126" s="36" t="s">
        <v>42</v>
      </c>
    </row>
    <row r="1127" spans="8:8" x14ac:dyDescent="0.35">
      <c r="H1127" s="36" t="s">
        <v>42</v>
      </c>
    </row>
    <row r="1128" spans="8:8" x14ac:dyDescent="0.35">
      <c r="H1128" s="36" t="s">
        <v>42</v>
      </c>
    </row>
    <row r="1129" spans="8:8" x14ac:dyDescent="0.35">
      <c r="H1129" s="36" t="s">
        <v>42</v>
      </c>
    </row>
    <row r="1130" spans="8:8" x14ac:dyDescent="0.35">
      <c r="H1130" s="36" t="s">
        <v>42</v>
      </c>
    </row>
    <row r="1131" spans="8:8" x14ac:dyDescent="0.35">
      <c r="H1131" s="36" t="s">
        <v>42</v>
      </c>
    </row>
    <row r="1132" spans="8:8" x14ac:dyDescent="0.35">
      <c r="H1132" s="36" t="s">
        <v>42</v>
      </c>
    </row>
    <row r="1133" spans="8:8" x14ac:dyDescent="0.35">
      <c r="H1133" s="36" t="s">
        <v>42</v>
      </c>
    </row>
    <row r="1134" spans="8:8" x14ac:dyDescent="0.35">
      <c r="H1134" s="36" t="s">
        <v>42</v>
      </c>
    </row>
    <row r="1135" spans="8:8" x14ac:dyDescent="0.35">
      <c r="H1135" s="36" t="s">
        <v>42</v>
      </c>
    </row>
    <row r="1136" spans="8:8" x14ac:dyDescent="0.35">
      <c r="H1136" s="36" t="s">
        <v>42</v>
      </c>
    </row>
    <row r="1137" spans="8:8" x14ac:dyDescent="0.35">
      <c r="H1137" s="36" t="s">
        <v>42</v>
      </c>
    </row>
    <row r="1138" spans="8:8" x14ac:dyDescent="0.35">
      <c r="H1138" s="36" t="s">
        <v>42</v>
      </c>
    </row>
    <row r="1139" spans="8:8" x14ac:dyDescent="0.35">
      <c r="H1139" s="36" t="s">
        <v>42</v>
      </c>
    </row>
    <row r="1140" spans="8:8" x14ac:dyDescent="0.35">
      <c r="H1140" s="36" t="s">
        <v>42</v>
      </c>
    </row>
    <row r="1141" spans="8:8" x14ac:dyDescent="0.35">
      <c r="H1141" s="36" t="s">
        <v>42</v>
      </c>
    </row>
    <row r="1142" spans="8:8" x14ac:dyDescent="0.35">
      <c r="H1142" s="36" t="s">
        <v>42</v>
      </c>
    </row>
    <row r="1143" spans="8:8" x14ac:dyDescent="0.35">
      <c r="H1143" s="36" t="s">
        <v>42</v>
      </c>
    </row>
    <row r="1144" spans="8:8" x14ac:dyDescent="0.35">
      <c r="H1144" s="36" t="s">
        <v>42</v>
      </c>
    </row>
    <row r="1145" spans="8:8" x14ac:dyDescent="0.35">
      <c r="H1145" s="36" t="s">
        <v>42</v>
      </c>
    </row>
    <row r="1146" spans="8:8" x14ac:dyDescent="0.35">
      <c r="H1146" s="36" t="s">
        <v>42</v>
      </c>
    </row>
    <row r="1147" spans="8:8" x14ac:dyDescent="0.35">
      <c r="H1147" s="36" t="s">
        <v>42</v>
      </c>
    </row>
    <row r="1148" spans="8:8" x14ac:dyDescent="0.35">
      <c r="H1148" s="36" t="s">
        <v>42</v>
      </c>
    </row>
    <row r="1149" spans="8:8" x14ac:dyDescent="0.35">
      <c r="H1149" s="36" t="s">
        <v>42</v>
      </c>
    </row>
    <row r="1150" spans="8:8" x14ac:dyDescent="0.35">
      <c r="H1150" s="36" t="s">
        <v>42</v>
      </c>
    </row>
    <row r="1151" spans="8:8" x14ac:dyDescent="0.35">
      <c r="H1151" s="36" t="s">
        <v>42</v>
      </c>
    </row>
    <row r="1152" spans="8:8" x14ac:dyDescent="0.35">
      <c r="H1152" s="36" t="s">
        <v>42</v>
      </c>
    </row>
    <row r="1153" spans="8:8" x14ac:dyDescent="0.35">
      <c r="H1153" s="36" t="s">
        <v>42</v>
      </c>
    </row>
    <row r="1154" spans="8:8" x14ac:dyDescent="0.35">
      <c r="H1154" s="36" t="s">
        <v>42</v>
      </c>
    </row>
    <row r="1155" spans="8:8" x14ac:dyDescent="0.35">
      <c r="H1155" s="36" t="s">
        <v>42</v>
      </c>
    </row>
    <row r="1156" spans="8:8" x14ac:dyDescent="0.35">
      <c r="H1156" s="36" t="s">
        <v>42</v>
      </c>
    </row>
    <row r="1157" spans="8:8" x14ac:dyDescent="0.35">
      <c r="H1157" s="36" t="s">
        <v>42</v>
      </c>
    </row>
    <row r="1158" spans="8:8" x14ac:dyDescent="0.35">
      <c r="H1158" s="36" t="s">
        <v>42</v>
      </c>
    </row>
    <row r="1159" spans="8:8" x14ac:dyDescent="0.35">
      <c r="H1159" s="36" t="s">
        <v>42</v>
      </c>
    </row>
    <row r="1160" spans="8:8" x14ac:dyDescent="0.35">
      <c r="H1160" s="36" t="s">
        <v>42</v>
      </c>
    </row>
    <row r="1161" spans="8:8" x14ac:dyDescent="0.35">
      <c r="H1161" s="36" t="s">
        <v>42</v>
      </c>
    </row>
    <row r="1162" spans="8:8" x14ac:dyDescent="0.35">
      <c r="H1162" s="36" t="s">
        <v>42</v>
      </c>
    </row>
    <row r="1163" spans="8:8" x14ac:dyDescent="0.35">
      <c r="H1163" s="36" t="s">
        <v>42</v>
      </c>
    </row>
    <row r="1164" spans="8:8" x14ac:dyDescent="0.35">
      <c r="H1164" s="36" t="s">
        <v>42</v>
      </c>
    </row>
    <row r="1165" spans="8:8" x14ac:dyDescent="0.35">
      <c r="H1165" s="36" t="s">
        <v>42</v>
      </c>
    </row>
    <row r="1166" spans="8:8" x14ac:dyDescent="0.35">
      <c r="H1166" s="36" t="s">
        <v>42</v>
      </c>
    </row>
    <row r="1167" spans="8:8" x14ac:dyDescent="0.35">
      <c r="H1167" s="36" t="s">
        <v>42</v>
      </c>
    </row>
    <row r="1168" spans="8:8" x14ac:dyDescent="0.35">
      <c r="H1168" s="36" t="s">
        <v>42</v>
      </c>
    </row>
    <row r="1169" spans="8:8" x14ac:dyDescent="0.35">
      <c r="H1169" s="36" t="s">
        <v>42</v>
      </c>
    </row>
    <row r="1170" spans="8:8" x14ac:dyDescent="0.35">
      <c r="H1170" s="36" t="s">
        <v>42</v>
      </c>
    </row>
    <row r="1171" spans="8:8" x14ac:dyDescent="0.35">
      <c r="H1171" s="36" t="s">
        <v>42</v>
      </c>
    </row>
    <row r="1172" spans="8:8" x14ac:dyDescent="0.35">
      <c r="H1172" s="36" t="s">
        <v>42</v>
      </c>
    </row>
    <row r="1173" spans="8:8" x14ac:dyDescent="0.35">
      <c r="H1173" s="36" t="s">
        <v>42</v>
      </c>
    </row>
    <row r="1174" spans="8:8" x14ac:dyDescent="0.35">
      <c r="H1174" s="36" t="s">
        <v>42</v>
      </c>
    </row>
    <row r="1175" spans="8:8" x14ac:dyDescent="0.35">
      <c r="H1175" s="36" t="s">
        <v>42</v>
      </c>
    </row>
    <row r="1176" spans="8:8" x14ac:dyDescent="0.35">
      <c r="H1176" s="36" t="s">
        <v>42</v>
      </c>
    </row>
    <row r="1177" spans="8:8" x14ac:dyDescent="0.35">
      <c r="H1177" s="36" t="s">
        <v>42</v>
      </c>
    </row>
    <row r="1178" spans="8:8" x14ac:dyDescent="0.35">
      <c r="H1178" s="36" t="s">
        <v>42</v>
      </c>
    </row>
    <row r="1179" spans="8:8" x14ac:dyDescent="0.35">
      <c r="H1179" s="36" t="s">
        <v>42</v>
      </c>
    </row>
    <row r="1180" spans="8:8" x14ac:dyDescent="0.35">
      <c r="H1180" s="36" t="s">
        <v>42</v>
      </c>
    </row>
    <row r="1181" spans="8:8" x14ac:dyDescent="0.35">
      <c r="H1181" s="36" t="s">
        <v>42</v>
      </c>
    </row>
    <row r="1182" spans="8:8" x14ac:dyDescent="0.35">
      <c r="H1182" s="36" t="s">
        <v>42</v>
      </c>
    </row>
    <row r="1183" spans="8:8" x14ac:dyDescent="0.35">
      <c r="H1183" s="36" t="s">
        <v>42</v>
      </c>
    </row>
    <row r="1184" spans="8:8" x14ac:dyDescent="0.35">
      <c r="H1184" s="36" t="s">
        <v>42</v>
      </c>
    </row>
    <row r="1185" spans="8:8" x14ac:dyDescent="0.35">
      <c r="H1185" s="36" t="s">
        <v>42</v>
      </c>
    </row>
    <row r="1186" spans="8:8" x14ac:dyDescent="0.35">
      <c r="H1186" s="36" t="s">
        <v>42</v>
      </c>
    </row>
    <row r="1187" spans="8:8" x14ac:dyDescent="0.35">
      <c r="H1187" s="36" t="s">
        <v>42</v>
      </c>
    </row>
    <row r="1188" spans="8:8" x14ac:dyDescent="0.35">
      <c r="H1188" s="36" t="s">
        <v>42</v>
      </c>
    </row>
    <row r="1189" spans="8:8" x14ac:dyDescent="0.35">
      <c r="H1189" s="36" t="s">
        <v>42</v>
      </c>
    </row>
    <row r="1190" spans="8:8" x14ac:dyDescent="0.35">
      <c r="H1190" s="36" t="s">
        <v>42</v>
      </c>
    </row>
    <row r="1191" spans="8:8" x14ac:dyDescent="0.35">
      <c r="H1191" s="36" t="s">
        <v>42</v>
      </c>
    </row>
    <row r="1192" spans="8:8" x14ac:dyDescent="0.35">
      <c r="H1192" s="36" t="s">
        <v>42</v>
      </c>
    </row>
    <row r="1193" spans="8:8" x14ac:dyDescent="0.35">
      <c r="H1193" s="36" t="s">
        <v>42</v>
      </c>
    </row>
    <row r="1194" spans="8:8" x14ac:dyDescent="0.35">
      <c r="H1194" s="36" t="s">
        <v>42</v>
      </c>
    </row>
    <row r="1195" spans="8:8" x14ac:dyDescent="0.35">
      <c r="H1195" s="36" t="s">
        <v>42</v>
      </c>
    </row>
    <row r="1196" spans="8:8" x14ac:dyDescent="0.35">
      <c r="H1196" s="36" t="s">
        <v>42</v>
      </c>
    </row>
    <row r="1197" spans="8:8" x14ac:dyDescent="0.35">
      <c r="H1197" s="36" t="s">
        <v>42</v>
      </c>
    </row>
    <row r="1198" spans="8:8" x14ac:dyDescent="0.35">
      <c r="H1198" s="36" t="s">
        <v>42</v>
      </c>
    </row>
    <row r="1199" spans="8:8" x14ac:dyDescent="0.35">
      <c r="H1199" s="36" t="s">
        <v>42</v>
      </c>
    </row>
    <row r="1200" spans="8:8" x14ac:dyDescent="0.35">
      <c r="H1200" s="36" t="s">
        <v>42</v>
      </c>
    </row>
    <row r="1201" spans="8:8" x14ac:dyDescent="0.35">
      <c r="H1201" s="36" t="s">
        <v>42</v>
      </c>
    </row>
    <row r="1202" spans="8:8" x14ac:dyDescent="0.35">
      <c r="H1202" s="36" t="s">
        <v>42</v>
      </c>
    </row>
    <row r="1203" spans="8:8" x14ac:dyDescent="0.35">
      <c r="H1203" s="36" t="s">
        <v>42</v>
      </c>
    </row>
    <row r="1204" spans="8:8" x14ac:dyDescent="0.35">
      <c r="H1204" s="36" t="s">
        <v>42</v>
      </c>
    </row>
    <row r="1205" spans="8:8" x14ac:dyDescent="0.35">
      <c r="H1205" s="36" t="s">
        <v>42</v>
      </c>
    </row>
    <row r="1206" spans="8:8" x14ac:dyDescent="0.35">
      <c r="H1206" s="36" t="s">
        <v>42</v>
      </c>
    </row>
    <row r="1207" spans="8:8" x14ac:dyDescent="0.35">
      <c r="H1207" s="36" t="s">
        <v>42</v>
      </c>
    </row>
    <row r="1208" spans="8:8" x14ac:dyDescent="0.35">
      <c r="H1208" s="36" t="s">
        <v>42</v>
      </c>
    </row>
    <row r="1209" spans="8:8" x14ac:dyDescent="0.35">
      <c r="H1209" s="36" t="s">
        <v>42</v>
      </c>
    </row>
    <row r="1210" spans="8:8" x14ac:dyDescent="0.35">
      <c r="H1210" s="36" t="s">
        <v>42</v>
      </c>
    </row>
    <row r="1211" spans="8:8" x14ac:dyDescent="0.35">
      <c r="H1211" s="36" t="s">
        <v>42</v>
      </c>
    </row>
    <row r="1212" spans="8:8" x14ac:dyDescent="0.35">
      <c r="H1212" s="36" t="s">
        <v>42</v>
      </c>
    </row>
    <row r="1213" spans="8:8" x14ac:dyDescent="0.35">
      <c r="H1213" s="36" t="s">
        <v>42</v>
      </c>
    </row>
    <row r="1214" spans="8:8" x14ac:dyDescent="0.35">
      <c r="H1214" s="36" t="s">
        <v>42</v>
      </c>
    </row>
    <row r="1215" spans="8:8" x14ac:dyDescent="0.35">
      <c r="H1215" s="36" t="s">
        <v>42</v>
      </c>
    </row>
    <row r="1216" spans="8:8" x14ac:dyDescent="0.35">
      <c r="H1216" s="36" t="s">
        <v>42</v>
      </c>
    </row>
    <row r="1217" spans="8:8" x14ac:dyDescent="0.35">
      <c r="H1217" s="36" t="s">
        <v>42</v>
      </c>
    </row>
    <row r="1218" spans="8:8" x14ac:dyDescent="0.35">
      <c r="H1218" s="36" t="s">
        <v>42</v>
      </c>
    </row>
    <row r="1219" spans="8:8" x14ac:dyDescent="0.35">
      <c r="H1219" s="36" t="s">
        <v>42</v>
      </c>
    </row>
    <row r="1220" spans="8:8" x14ac:dyDescent="0.35">
      <c r="H1220" s="36" t="s">
        <v>42</v>
      </c>
    </row>
    <row r="1221" spans="8:8" x14ac:dyDescent="0.35">
      <c r="H1221" s="36" t="s">
        <v>42</v>
      </c>
    </row>
    <row r="1222" spans="8:8" x14ac:dyDescent="0.35">
      <c r="H1222" s="36" t="s">
        <v>42</v>
      </c>
    </row>
    <row r="1223" spans="8:8" x14ac:dyDescent="0.35">
      <c r="H1223" s="36" t="s">
        <v>42</v>
      </c>
    </row>
    <row r="1224" spans="8:8" x14ac:dyDescent="0.35">
      <c r="H1224" s="36" t="s">
        <v>42</v>
      </c>
    </row>
    <row r="1225" spans="8:8" x14ac:dyDescent="0.35">
      <c r="H1225" s="36" t="s">
        <v>42</v>
      </c>
    </row>
    <row r="1226" spans="8:8" x14ac:dyDescent="0.35">
      <c r="H1226" s="36" t="s">
        <v>42</v>
      </c>
    </row>
    <row r="1227" spans="8:8" x14ac:dyDescent="0.35">
      <c r="H1227" s="36" t="s">
        <v>42</v>
      </c>
    </row>
    <row r="1228" spans="8:8" x14ac:dyDescent="0.35">
      <c r="H1228" s="36" t="s">
        <v>42</v>
      </c>
    </row>
    <row r="1229" spans="8:8" x14ac:dyDescent="0.35">
      <c r="H1229" s="36" t="s">
        <v>42</v>
      </c>
    </row>
    <row r="1230" spans="8:8" x14ac:dyDescent="0.35">
      <c r="H1230" s="36" t="s">
        <v>42</v>
      </c>
    </row>
    <row r="1231" spans="8:8" x14ac:dyDescent="0.35">
      <c r="H1231" s="36" t="s">
        <v>42</v>
      </c>
    </row>
    <row r="1232" spans="8:8" x14ac:dyDescent="0.35">
      <c r="H1232" s="36" t="s">
        <v>42</v>
      </c>
    </row>
    <row r="1233" spans="8:8" x14ac:dyDescent="0.35">
      <c r="H1233" s="36" t="s">
        <v>42</v>
      </c>
    </row>
    <row r="1234" spans="8:8" x14ac:dyDescent="0.35">
      <c r="H1234" s="36" t="s">
        <v>42</v>
      </c>
    </row>
    <row r="1235" spans="8:8" x14ac:dyDescent="0.35">
      <c r="H1235" s="36" t="s">
        <v>42</v>
      </c>
    </row>
    <row r="1236" spans="8:8" x14ac:dyDescent="0.35">
      <c r="H1236" s="36" t="s">
        <v>42</v>
      </c>
    </row>
    <row r="1237" spans="8:8" x14ac:dyDescent="0.35">
      <c r="H1237" s="36" t="s">
        <v>42</v>
      </c>
    </row>
    <row r="1238" spans="8:8" x14ac:dyDescent="0.35">
      <c r="H1238" s="36" t="s">
        <v>42</v>
      </c>
    </row>
    <row r="1239" spans="8:8" x14ac:dyDescent="0.35">
      <c r="H1239" s="36" t="s">
        <v>42</v>
      </c>
    </row>
    <row r="1240" spans="8:8" x14ac:dyDescent="0.35">
      <c r="H1240" s="36" t="s">
        <v>42</v>
      </c>
    </row>
    <row r="1241" spans="8:8" x14ac:dyDescent="0.35">
      <c r="H1241" s="36" t="s">
        <v>42</v>
      </c>
    </row>
    <row r="1242" spans="8:8" x14ac:dyDescent="0.35">
      <c r="H1242" s="36" t="s">
        <v>42</v>
      </c>
    </row>
    <row r="1243" spans="8:8" x14ac:dyDescent="0.35">
      <c r="H1243" s="36" t="s">
        <v>42</v>
      </c>
    </row>
    <row r="1244" spans="8:8" x14ac:dyDescent="0.35">
      <c r="H1244" s="36" t="s">
        <v>42</v>
      </c>
    </row>
    <row r="1245" spans="8:8" x14ac:dyDescent="0.35">
      <c r="H1245" s="36" t="s">
        <v>42</v>
      </c>
    </row>
    <row r="1246" spans="8:8" x14ac:dyDescent="0.35">
      <c r="H1246" s="36" t="s">
        <v>42</v>
      </c>
    </row>
    <row r="1247" spans="8:8" x14ac:dyDescent="0.35">
      <c r="H1247" s="36" t="s">
        <v>42</v>
      </c>
    </row>
    <row r="1248" spans="8:8" x14ac:dyDescent="0.35">
      <c r="H1248" s="36" t="s">
        <v>42</v>
      </c>
    </row>
    <row r="1249" spans="8:8" x14ac:dyDescent="0.35">
      <c r="H1249" s="36" t="s">
        <v>42</v>
      </c>
    </row>
    <row r="1250" spans="8:8" x14ac:dyDescent="0.35">
      <c r="H1250" s="36" t="s">
        <v>42</v>
      </c>
    </row>
    <row r="1251" spans="8:8" x14ac:dyDescent="0.35">
      <c r="H1251" s="36" t="s">
        <v>42</v>
      </c>
    </row>
    <row r="1252" spans="8:8" x14ac:dyDescent="0.35">
      <c r="H1252" s="36" t="s">
        <v>42</v>
      </c>
    </row>
    <row r="1253" spans="8:8" x14ac:dyDescent="0.35">
      <c r="H1253" s="36" t="s">
        <v>42</v>
      </c>
    </row>
    <row r="1254" spans="8:8" x14ac:dyDescent="0.35">
      <c r="H1254" s="36" t="s">
        <v>42</v>
      </c>
    </row>
    <row r="1255" spans="8:8" x14ac:dyDescent="0.35">
      <c r="H1255" s="36" t="s">
        <v>42</v>
      </c>
    </row>
    <row r="1256" spans="8:8" x14ac:dyDescent="0.35">
      <c r="H1256" s="36" t="s">
        <v>42</v>
      </c>
    </row>
    <row r="1257" spans="8:8" x14ac:dyDescent="0.35">
      <c r="H1257" s="36" t="s">
        <v>42</v>
      </c>
    </row>
    <row r="1258" spans="8:8" x14ac:dyDescent="0.35">
      <c r="H1258" s="36" t="s">
        <v>42</v>
      </c>
    </row>
    <row r="1259" spans="8:8" x14ac:dyDescent="0.35">
      <c r="H1259" s="36" t="s">
        <v>42</v>
      </c>
    </row>
    <row r="1260" spans="8:8" x14ac:dyDescent="0.35">
      <c r="H1260" s="36" t="s">
        <v>42</v>
      </c>
    </row>
    <row r="1261" spans="8:8" x14ac:dyDescent="0.35">
      <c r="H1261" s="36" t="s">
        <v>42</v>
      </c>
    </row>
    <row r="1262" spans="8:8" x14ac:dyDescent="0.35">
      <c r="H1262" s="36" t="s">
        <v>42</v>
      </c>
    </row>
    <row r="1263" spans="8:8" x14ac:dyDescent="0.35">
      <c r="H1263" s="36" t="s">
        <v>42</v>
      </c>
    </row>
    <row r="1264" spans="8:8" x14ac:dyDescent="0.35">
      <c r="H1264" s="36" t="s">
        <v>42</v>
      </c>
    </row>
    <row r="1265" spans="8:8" x14ac:dyDescent="0.35">
      <c r="H1265" s="36" t="s">
        <v>42</v>
      </c>
    </row>
    <row r="1266" spans="8:8" x14ac:dyDescent="0.35">
      <c r="H1266" s="36" t="s">
        <v>42</v>
      </c>
    </row>
    <row r="1267" spans="8:8" x14ac:dyDescent="0.35">
      <c r="H1267" s="36" t="s">
        <v>42</v>
      </c>
    </row>
    <row r="1268" spans="8:8" x14ac:dyDescent="0.35">
      <c r="H1268" s="36" t="s">
        <v>42</v>
      </c>
    </row>
    <row r="1269" spans="8:8" x14ac:dyDescent="0.35">
      <c r="H1269" s="36" t="s">
        <v>42</v>
      </c>
    </row>
    <row r="1270" spans="8:8" x14ac:dyDescent="0.35">
      <c r="H1270" s="36" t="s">
        <v>42</v>
      </c>
    </row>
    <row r="1271" spans="8:8" x14ac:dyDescent="0.35">
      <c r="H1271" s="36" t="s">
        <v>42</v>
      </c>
    </row>
    <row r="1272" spans="8:8" x14ac:dyDescent="0.35">
      <c r="H1272" s="36" t="s">
        <v>42</v>
      </c>
    </row>
    <row r="1273" spans="8:8" x14ac:dyDescent="0.35">
      <c r="H1273" s="36" t="s">
        <v>42</v>
      </c>
    </row>
    <row r="1274" spans="8:8" x14ac:dyDescent="0.35">
      <c r="H1274" s="36" t="s">
        <v>42</v>
      </c>
    </row>
    <row r="1275" spans="8:8" x14ac:dyDescent="0.35">
      <c r="H1275" s="36" t="s">
        <v>42</v>
      </c>
    </row>
    <row r="1276" spans="8:8" x14ac:dyDescent="0.35">
      <c r="H1276" s="36" t="s">
        <v>42</v>
      </c>
    </row>
    <row r="1277" spans="8:8" x14ac:dyDescent="0.35">
      <c r="H1277" s="36" t="s">
        <v>42</v>
      </c>
    </row>
    <row r="1278" spans="8:8" x14ac:dyDescent="0.35">
      <c r="H1278" s="36" t="s">
        <v>42</v>
      </c>
    </row>
    <row r="1279" spans="8:8" x14ac:dyDescent="0.35">
      <c r="H1279" s="36" t="s">
        <v>42</v>
      </c>
    </row>
    <row r="1280" spans="8:8" x14ac:dyDescent="0.35">
      <c r="H1280" s="36" t="s">
        <v>42</v>
      </c>
    </row>
    <row r="1281" spans="8:8" x14ac:dyDescent="0.35">
      <c r="H1281" s="36" t="s">
        <v>42</v>
      </c>
    </row>
    <row r="1282" spans="8:8" x14ac:dyDescent="0.35">
      <c r="H1282" s="36" t="s">
        <v>42</v>
      </c>
    </row>
    <row r="1283" spans="8:8" x14ac:dyDescent="0.35">
      <c r="H1283" s="36" t="s">
        <v>42</v>
      </c>
    </row>
    <row r="1284" spans="8:8" x14ac:dyDescent="0.35">
      <c r="H1284" s="36" t="s">
        <v>42</v>
      </c>
    </row>
    <row r="1285" spans="8:8" x14ac:dyDescent="0.35">
      <c r="H1285" s="36" t="s">
        <v>42</v>
      </c>
    </row>
    <row r="1286" spans="8:8" x14ac:dyDescent="0.35">
      <c r="H1286" s="36" t="s">
        <v>42</v>
      </c>
    </row>
    <row r="1287" spans="8:8" x14ac:dyDescent="0.35">
      <c r="H1287" s="36" t="s">
        <v>42</v>
      </c>
    </row>
    <row r="1288" spans="8:8" x14ac:dyDescent="0.35">
      <c r="H1288" s="36" t="s">
        <v>42</v>
      </c>
    </row>
    <row r="1289" spans="8:8" x14ac:dyDescent="0.35">
      <c r="H1289" s="36" t="s">
        <v>42</v>
      </c>
    </row>
    <row r="1290" spans="8:8" x14ac:dyDescent="0.35">
      <c r="H1290" s="36" t="s">
        <v>42</v>
      </c>
    </row>
    <row r="1291" spans="8:8" x14ac:dyDescent="0.35">
      <c r="H1291" s="36" t="s">
        <v>42</v>
      </c>
    </row>
    <row r="1292" spans="8:8" x14ac:dyDescent="0.35">
      <c r="H1292" s="36" t="s">
        <v>42</v>
      </c>
    </row>
    <row r="1293" spans="8:8" x14ac:dyDescent="0.35">
      <c r="H1293" s="36" t="s">
        <v>42</v>
      </c>
    </row>
    <row r="1294" spans="8:8" x14ac:dyDescent="0.35">
      <c r="H1294" s="36" t="s">
        <v>42</v>
      </c>
    </row>
    <row r="1295" spans="8:8" x14ac:dyDescent="0.35">
      <c r="H1295" s="36" t="s">
        <v>42</v>
      </c>
    </row>
    <row r="1296" spans="8:8" x14ac:dyDescent="0.35">
      <c r="H1296" s="36" t="s">
        <v>42</v>
      </c>
    </row>
    <row r="1297" spans="8:8" x14ac:dyDescent="0.35">
      <c r="H1297" s="36" t="s">
        <v>42</v>
      </c>
    </row>
    <row r="1298" spans="8:8" x14ac:dyDescent="0.35">
      <c r="H1298" s="36" t="s">
        <v>42</v>
      </c>
    </row>
    <row r="1299" spans="8:8" x14ac:dyDescent="0.35">
      <c r="H1299" s="36" t="s">
        <v>42</v>
      </c>
    </row>
    <row r="1300" spans="8:8" x14ac:dyDescent="0.35">
      <c r="H1300" s="36" t="s">
        <v>42</v>
      </c>
    </row>
    <row r="1301" spans="8:8" x14ac:dyDescent="0.35">
      <c r="H1301" s="36" t="s">
        <v>42</v>
      </c>
    </row>
    <row r="1302" spans="8:8" x14ac:dyDescent="0.35">
      <c r="H1302" s="36" t="s">
        <v>42</v>
      </c>
    </row>
    <row r="1303" spans="8:8" x14ac:dyDescent="0.35">
      <c r="H1303" s="36" t="s">
        <v>42</v>
      </c>
    </row>
    <row r="1304" spans="8:8" x14ac:dyDescent="0.35">
      <c r="H1304" s="36" t="s">
        <v>42</v>
      </c>
    </row>
    <row r="1305" spans="8:8" x14ac:dyDescent="0.35">
      <c r="H1305" s="36" t="s">
        <v>42</v>
      </c>
    </row>
    <row r="1306" spans="8:8" x14ac:dyDescent="0.35">
      <c r="H1306" s="36" t="s">
        <v>42</v>
      </c>
    </row>
    <row r="1307" spans="8:8" x14ac:dyDescent="0.35">
      <c r="H1307" s="36" t="s">
        <v>42</v>
      </c>
    </row>
    <row r="1308" spans="8:8" x14ac:dyDescent="0.35">
      <c r="H1308" s="36" t="s">
        <v>42</v>
      </c>
    </row>
    <row r="1309" spans="8:8" x14ac:dyDescent="0.35">
      <c r="H1309" s="36" t="s">
        <v>42</v>
      </c>
    </row>
    <row r="1310" spans="8:8" x14ac:dyDescent="0.35">
      <c r="H1310" s="36" t="s">
        <v>42</v>
      </c>
    </row>
    <row r="1311" spans="8:8" x14ac:dyDescent="0.35">
      <c r="H1311" s="36" t="s">
        <v>42</v>
      </c>
    </row>
    <row r="1312" spans="8:8" x14ac:dyDescent="0.35">
      <c r="H1312" s="36" t="s">
        <v>42</v>
      </c>
    </row>
    <row r="1313" spans="8:8" x14ac:dyDescent="0.35">
      <c r="H1313" s="36" t="s">
        <v>42</v>
      </c>
    </row>
    <row r="1314" spans="8:8" x14ac:dyDescent="0.35">
      <c r="H1314" s="36" t="s">
        <v>42</v>
      </c>
    </row>
    <row r="1315" spans="8:8" x14ac:dyDescent="0.35">
      <c r="H1315" s="36" t="s">
        <v>42</v>
      </c>
    </row>
    <row r="1316" spans="8:8" x14ac:dyDescent="0.35">
      <c r="H1316" s="36" t="s">
        <v>42</v>
      </c>
    </row>
    <row r="1317" spans="8:8" x14ac:dyDescent="0.35">
      <c r="H1317" s="36" t="s">
        <v>42</v>
      </c>
    </row>
    <row r="1318" spans="8:8" x14ac:dyDescent="0.35">
      <c r="H1318" s="36" t="s">
        <v>42</v>
      </c>
    </row>
    <row r="1319" spans="8:8" x14ac:dyDescent="0.35">
      <c r="H1319" s="36" t="s">
        <v>42</v>
      </c>
    </row>
    <row r="1320" spans="8:8" x14ac:dyDescent="0.35">
      <c r="H1320" s="36" t="s">
        <v>42</v>
      </c>
    </row>
    <row r="1321" spans="8:8" x14ac:dyDescent="0.35">
      <c r="H1321" s="36" t="s">
        <v>42</v>
      </c>
    </row>
    <row r="1322" spans="8:8" x14ac:dyDescent="0.35">
      <c r="H1322" s="36" t="s">
        <v>42</v>
      </c>
    </row>
    <row r="1323" spans="8:8" x14ac:dyDescent="0.35">
      <c r="H1323" s="36" t="s">
        <v>42</v>
      </c>
    </row>
    <row r="1324" spans="8:8" x14ac:dyDescent="0.35">
      <c r="H1324" s="36" t="s">
        <v>42</v>
      </c>
    </row>
    <row r="1325" spans="8:8" x14ac:dyDescent="0.35">
      <c r="H1325" s="36" t="s">
        <v>42</v>
      </c>
    </row>
    <row r="1326" spans="8:8" x14ac:dyDescent="0.35">
      <c r="H1326" s="36" t="s">
        <v>42</v>
      </c>
    </row>
    <row r="1327" spans="8:8" x14ac:dyDescent="0.35">
      <c r="H1327" s="36" t="s">
        <v>42</v>
      </c>
    </row>
    <row r="1328" spans="8:8" x14ac:dyDescent="0.35">
      <c r="H1328" s="36" t="s">
        <v>42</v>
      </c>
    </row>
    <row r="1329" spans="8:8" x14ac:dyDescent="0.35">
      <c r="H1329" s="36" t="s">
        <v>42</v>
      </c>
    </row>
    <row r="1330" spans="8:8" x14ac:dyDescent="0.35">
      <c r="H1330" s="36" t="s">
        <v>42</v>
      </c>
    </row>
    <row r="1331" spans="8:8" x14ac:dyDescent="0.35">
      <c r="H1331" s="36" t="s">
        <v>42</v>
      </c>
    </row>
    <row r="1332" spans="8:8" x14ac:dyDescent="0.35">
      <c r="H1332" s="36" t="s">
        <v>42</v>
      </c>
    </row>
    <row r="1333" spans="8:8" x14ac:dyDescent="0.35">
      <c r="H1333" s="36" t="s">
        <v>42</v>
      </c>
    </row>
    <row r="1334" spans="8:8" x14ac:dyDescent="0.35">
      <c r="H1334" s="36" t="s">
        <v>42</v>
      </c>
    </row>
    <row r="1335" spans="8:8" x14ac:dyDescent="0.35">
      <c r="H1335" s="36" t="s">
        <v>42</v>
      </c>
    </row>
    <row r="1336" spans="8:8" x14ac:dyDescent="0.35">
      <c r="H1336" s="36" t="s">
        <v>42</v>
      </c>
    </row>
    <row r="1337" spans="8:8" x14ac:dyDescent="0.35">
      <c r="H1337" s="36" t="s">
        <v>42</v>
      </c>
    </row>
    <row r="1338" spans="8:8" x14ac:dyDescent="0.35">
      <c r="H1338" s="36" t="s">
        <v>42</v>
      </c>
    </row>
    <row r="1339" spans="8:8" x14ac:dyDescent="0.35">
      <c r="H1339" s="36" t="s">
        <v>42</v>
      </c>
    </row>
    <row r="1340" spans="8:8" x14ac:dyDescent="0.35">
      <c r="H1340" s="36" t="s">
        <v>42</v>
      </c>
    </row>
    <row r="1341" spans="8:8" x14ac:dyDescent="0.35">
      <c r="H1341" s="36" t="s">
        <v>42</v>
      </c>
    </row>
    <row r="1342" spans="8:8" x14ac:dyDescent="0.35">
      <c r="H1342" s="36" t="s">
        <v>42</v>
      </c>
    </row>
    <row r="1343" spans="8:8" x14ac:dyDescent="0.35">
      <c r="H1343" s="36" t="s">
        <v>42</v>
      </c>
    </row>
    <row r="1344" spans="8:8" x14ac:dyDescent="0.35">
      <c r="H1344" s="36" t="s">
        <v>42</v>
      </c>
    </row>
    <row r="1345" spans="8:8" x14ac:dyDescent="0.35">
      <c r="H1345" s="36" t="s">
        <v>42</v>
      </c>
    </row>
    <row r="1346" spans="8:8" x14ac:dyDescent="0.35">
      <c r="H1346" s="36" t="s">
        <v>42</v>
      </c>
    </row>
    <row r="1347" spans="8:8" x14ac:dyDescent="0.35">
      <c r="H1347" s="36" t="s">
        <v>42</v>
      </c>
    </row>
    <row r="1348" spans="8:8" x14ac:dyDescent="0.35">
      <c r="H1348" s="36" t="s">
        <v>42</v>
      </c>
    </row>
    <row r="1349" spans="8:8" x14ac:dyDescent="0.35">
      <c r="H1349" s="36" t="s">
        <v>42</v>
      </c>
    </row>
    <row r="1350" spans="8:8" x14ac:dyDescent="0.35">
      <c r="H1350" s="36" t="s">
        <v>42</v>
      </c>
    </row>
    <row r="1351" spans="8:8" x14ac:dyDescent="0.35">
      <c r="H1351" s="36" t="s">
        <v>42</v>
      </c>
    </row>
    <row r="1352" spans="8:8" x14ac:dyDescent="0.35">
      <c r="H1352" s="36" t="s">
        <v>42</v>
      </c>
    </row>
    <row r="1353" spans="8:8" x14ac:dyDescent="0.35">
      <c r="H1353" s="36" t="s">
        <v>42</v>
      </c>
    </row>
    <row r="1354" spans="8:8" x14ac:dyDescent="0.35">
      <c r="H1354" s="36" t="s">
        <v>42</v>
      </c>
    </row>
    <row r="1355" spans="8:8" x14ac:dyDescent="0.35">
      <c r="H1355" s="36" t="s">
        <v>42</v>
      </c>
    </row>
    <row r="1356" spans="8:8" x14ac:dyDescent="0.35">
      <c r="H1356" s="36" t="s">
        <v>42</v>
      </c>
    </row>
    <row r="1357" spans="8:8" x14ac:dyDescent="0.35">
      <c r="H1357" s="36" t="s">
        <v>42</v>
      </c>
    </row>
    <row r="1358" spans="8:8" x14ac:dyDescent="0.35">
      <c r="H1358" s="36" t="s">
        <v>42</v>
      </c>
    </row>
    <row r="1359" spans="8:8" x14ac:dyDescent="0.35">
      <c r="H1359" s="36" t="s">
        <v>42</v>
      </c>
    </row>
    <row r="1360" spans="8:8" x14ac:dyDescent="0.35">
      <c r="H1360" s="36" t="s">
        <v>42</v>
      </c>
    </row>
    <row r="1361" spans="8:8" x14ac:dyDescent="0.35">
      <c r="H1361" s="36" t="s">
        <v>42</v>
      </c>
    </row>
    <row r="1362" spans="8:8" x14ac:dyDescent="0.35">
      <c r="H1362" s="36" t="s">
        <v>42</v>
      </c>
    </row>
    <row r="1363" spans="8:8" x14ac:dyDescent="0.35">
      <c r="H1363" s="36" t="s">
        <v>42</v>
      </c>
    </row>
    <row r="1364" spans="8:8" x14ac:dyDescent="0.35">
      <c r="H1364" s="36" t="s">
        <v>42</v>
      </c>
    </row>
    <row r="1365" spans="8:8" x14ac:dyDescent="0.35">
      <c r="H1365" s="36" t="s">
        <v>42</v>
      </c>
    </row>
    <row r="1366" spans="8:8" x14ac:dyDescent="0.35">
      <c r="H1366" s="36" t="s">
        <v>42</v>
      </c>
    </row>
    <row r="1367" spans="8:8" x14ac:dyDescent="0.35">
      <c r="H1367" s="36" t="s">
        <v>42</v>
      </c>
    </row>
    <row r="1368" spans="8:8" x14ac:dyDescent="0.35">
      <c r="H1368" s="36" t="s">
        <v>42</v>
      </c>
    </row>
    <row r="1369" spans="8:8" x14ac:dyDescent="0.35">
      <c r="H1369" s="36" t="s">
        <v>42</v>
      </c>
    </row>
    <row r="1370" spans="8:8" x14ac:dyDescent="0.35">
      <c r="H1370" s="36" t="s">
        <v>42</v>
      </c>
    </row>
    <row r="1371" spans="8:8" x14ac:dyDescent="0.35">
      <c r="H1371" s="36" t="s">
        <v>42</v>
      </c>
    </row>
    <row r="1372" spans="8:8" x14ac:dyDescent="0.35">
      <c r="H1372" s="36" t="s">
        <v>42</v>
      </c>
    </row>
    <row r="1373" spans="8:8" x14ac:dyDescent="0.35">
      <c r="H1373" s="36" t="s">
        <v>42</v>
      </c>
    </row>
    <row r="1374" spans="8:8" x14ac:dyDescent="0.35">
      <c r="H1374" s="36" t="s">
        <v>42</v>
      </c>
    </row>
    <row r="1375" spans="8:8" x14ac:dyDescent="0.35">
      <c r="H1375" s="36" t="s">
        <v>42</v>
      </c>
    </row>
    <row r="1376" spans="8:8" x14ac:dyDescent="0.35">
      <c r="H1376" s="36" t="s">
        <v>42</v>
      </c>
    </row>
    <row r="1377" spans="8:8" x14ac:dyDescent="0.35">
      <c r="H1377" s="36" t="s">
        <v>42</v>
      </c>
    </row>
    <row r="1378" spans="8:8" x14ac:dyDescent="0.35">
      <c r="H1378" s="36" t="s">
        <v>42</v>
      </c>
    </row>
    <row r="1379" spans="8:8" x14ac:dyDescent="0.35">
      <c r="H1379" s="36" t="s">
        <v>42</v>
      </c>
    </row>
    <row r="1380" spans="8:8" x14ac:dyDescent="0.35">
      <c r="H1380" s="36" t="s">
        <v>42</v>
      </c>
    </row>
    <row r="1381" spans="8:8" x14ac:dyDescent="0.35">
      <c r="H1381" s="36" t="s">
        <v>42</v>
      </c>
    </row>
    <row r="1382" spans="8:8" x14ac:dyDescent="0.35">
      <c r="H1382" s="36" t="s">
        <v>42</v>
      </c>
    </row>
    <row r="1383" spans="8:8" x14ac:dyDescent="0.35">
      <c r="H1383" s="36" t="s">
        <v>42</v>
      </c>
    </row>
    <row r="1384" spans="8:8" x14ac:dyDescent="0.35">
      <c r="H1384" s="36" t="s">
        <v>42</v>
      </c>
    </row>
    <row r="1385" spans="8:8" x14ac:dyDescent="0.35">
      <c r="H1385" s="36" t="s">
        <v>42</v>
      </c>
    </row>
    <row r="1386" spans="8:8" x14ac:dyDescent="0.35">
      <c r="H1386" s="36" t="s">
        <v>42</v>
      </c>
    </row>
    <row r="1387" spans="8:8" x14ac:dyDescent="0.35">
      <c r="H1387" s="36" t="s">
        <v>42</v>
      </c>
    </row>
    <row r="1388" spans="8:8" x14ac:dyDescent="0.35">
      <c r="H1388" s="36" t="s">
        <v>42</v>
      </c>
    </row>
    <row r="1389" spans="8:8" x14ac:dyDescent="0.35">
      <c r="H1389" s="36" t="s">
        <v>42</v>
      </c>
    </row>
    <row r="1390" spans="8:8" x14ac:dyDescent="0.35">
      <c r="H1390" s="36" t="s">
        <v>42</v>
      </c>
    </row>
    <row r="1391" spans="8:8" x14ac:dyDescent="0.35">
      <c r="H1391" s="36" t="s">
        <v>42</v>
      </c>
    </row>
    <row r="1392" spans="8:8" x14ac:dyDescent="0.35">
      <c r="H1392" s="36" t="s">
        <v>42</v>
      </c>
    </row>
    <row r="1393" spans="8:8" x14ac:dyDescent="0.35">
      <c r="H1393" s="36" t="s">
        <v>42</v>
      </c>
    </row>
    <row r="1394" spans="8:8" x14ac:dyDescent="0.35">
      <c r="H1394" s="36" t="s">
        <v>42</v>
      </c>
    </row>
    <row r="1395" spans="8:8" x14ac:dyDescent="0.35">
      <c r="H1395" s="36" t="s">
        <v>42</v>
      </c>
    </row>
    <row r="1396" spans="8:8" x14ac:dyDescent="0.35">
      <c r="H1396" s="36" t="s">
        <v>42</v>
      </c>
    </row>
    <row r="1397" spans="8:8" x14ac:dyDescent="0.35">
      <c r="H1397" s="36" t="s">
        <v>42</v>
      </c>
    </row>
    <row r="1398" spans="8:8" x14ac:dyDescent="0.35">
      <c r="H1398" s="36" t="s">
        <v>42</v>
      </c>
    </row>
    <row r="1399" spans="8:8" x14ac:dyDescent="0.35">
      <c r="H1399" s="36" t="s">
        <v>42</v>
      </c>
    </row>
    <row r="1400" spans="8:8" x14ac:dyDescent="0.35">
      <c r="H1400" s="36" t="s">
        <v>42</v>
      </c>
    </row>
    <row r="1401" spans="8:8" x14ac:dyDescent="0.35">
      <c r="H1401" s="36" t="s">
        <v>42</v>
      </c>
    </row>
    <row r="1402" spans="8:8" x14ac:dyDescent="0.35">
      <c r="H1402" s="36" t="s">
        <v>42</v>
      </c>
    </row>
    <row r="1403" spans="8:8" x14ac:dyDescent="0.35">
      <c r="H1403" s="36" t="s">
        <v>42</v>
      </c>
    </row>
    <row r="1404" spans="8:8" x14ac:dyDescent="0.35">
      <c r="H1404" s="36" t="s">
        <v>42</v>
      </c>
    </row>
    <row r="1405" spans="8:8" x14ac:dyDescent="0.35">
      <c r="H1405" s="36" t="s">
        <v>42</v>
      </c>
    </row>
    <row r="1406" spans="8:8" x14ac:dyDescent="0.35">
      <c r="H1406" s="36" t="s">
        <v>42</v>
      </c>
    </row>
    <row r="1407" spans="8:8" x14ac:dyDescent="0.35">
      <c r="H1407" s="36" t="s">
        <v>42</v>
      </c>
    </row>
    <row r="1408" spans="8:8" x14ac:dyDescent="0.35">
      <c r="H1408" s="36" t="s">
        <v>42</v>
      </c>
    </row>
    <row r="1409" spans="8:8" x14ac:dyDescent="0.35">
      <c r="H1409" s="36" t="s">
        <v>42</v>
      </c>
    </row>
    <row r="1410" spans="8:8" x14ac:dyDescent="0.35">
      <c r="H1410" s="36" t="s">
        <v>42</v>
      </c>
    </row>
    <row r="1411" spans="8:8" x14ac:dyDescent="0.35">
      <c r="H1411" s="36" t="s">
        <v>42</v>
      </c>
    </row>
    <row r="1412" spans="8:8" x14ac:dyDescent="0.35">
      <c r="H1412" s="36" t="s">
        <v>42</v>
      </c>
    </row>
    <row r="1413" spans="8:8" x14ac:dyDescent="0.35">
      <c r="H1413" s="36" t="s">
        <v>42</v>
      </c>
    </row>
    <row r="1414" spans="8:8" x14ac:dyDescent="0.35">
      <c r="H1414" s="36" t="s">
        <v>42</v>
      </c>
    </row>
    <row r="1415" spans="8:8" x14ac:dyDescent="0.35">
      <c r="H1415" s="36" t="s">
        <v>42</v>
      </c>
    </row>
    <row r="1416" spans="8:8" x14ac:dyDescent="0.35">
      <c r="H1416" s="36" t="s">
        <v>42</v>
      </c>
    </row>
    <row r="1417" spans="8:8" x14ac:dyDescent="0.35">
      <c r="H1417" s="36" t="s">
        <v>42</v>
      </c>
    </row>
    <row r="1418" spans="8:8" x14ac:dyDescent="0.35">
      <c r="H1418" s="36" t="s">
        <v>42</v>
      </c>
    </row>
    <row r="1419" spans="8:8" x14ac:dyDescent="0.35">
      <c r="H1419" s="36" t="s">
        <v>42</v>
      </c>
    </row>
    <row r="1420" spans="8:8" x14ac:dyDescent="0.35">
      <c r="H1420" s="36" t="s">
        <v>42</v>
      </c>
    </row>
    <row r="1421" spans="8:8" x14ac:dyDescent="0.35">
      <c r="H1421" s="36" t="s">
        <v>42</v>
      </c>
    </row>
    <row r="1422" spans="8:8" x14ac:dyDescent="0.35">
      <c r="H1422" s="36" t="s">
        <v>42</v>
      </c>
    </row>
    <row r="1423" spans="8:8" x14ac:dyDescent="0.35">
      <c r="H1423" s="36" t="s">
        <v>42</v>
      </c>
    </row>
    <row r="1424" spans="8:8" x14ac:dyDescent="0.35">
      <c r="H1424" s="36" t="s">
        <v>42</v>
      </c>
    </row>
    <row r="1425" spans="8:8" x14ac:dyDescent="0.35">
      <c r="H1425" s="36" t="s">
        <v>42</v>
      </c>
    </row>
    <row r="1426" spans="8:8" x14ac:dyDescent="0.35">
      <c r="H1426" s="36" t="s">
        <v>42</v>
      </c>
    </row>
    <row r="1427" spans="8:8" x14ac:dyDescent="0.35">
      <c r="H1427" s="36" t="s">
        <v>42</v>
      </c>
    </row>
    <row r="1428" spans="8:8" x14ac:dyDescent="0.35">
      <c r="H1428" s="36" t="s">
        <v>42</v>
      </c>
    </row>
    <row r="1429" spans="8:8" x14ac:dyDescent="0.35">
      <c r="H1429" s="36" t="s">
        <v>42</v>
      </c>
    </row>
    <row r="1430" spans="8:8" x14ac:dyDescent="0.35">
      <c r="H1430" s="36" t="s">
        <v>42</v>
      </c>
    </row>
    <row r="1431" spans="8:8" x14ac:dyDescent="0.35">
      <c r="H1431" s="36" t="s">
        <v>42</v>
      </c>
    </row>
    <row r="1432" spans="8:8" x14ac:dyDescent="0.35">
      <c r="H1432" s="36" t="s">
        <v>42</v>
      </c>
    </row>
    <row r="1433" spans="8:8" x14ac:dyDescent="0.35">
      <c r="H1433" s="36" t="s">
        <v>42</v>
      </c>
    </row>
    <row r="1434" spans="8:8" x14ac:dyDescent="0.35">
      <c r="H1434" s="36" t="s">
        <v>42</v>
      </c>
    </row>
    <row r="1435" spans="8:8" x14ac:dyDescent="0.35">
      <c r="H1435" s="36" t="s">
        <v>42</v>
      </c>
    </row>
    <row r="1436" spans="8:8" x14ac:dyDescent="0.35">
      <c r="H1436" s="36" t="s">
        <v>42</v>
      </c>
    </row>
    <row r="1437" spans="8:8" x14ac:dyDescent="0.35">
      <c r="H1437" s="36" t="s">
        <v>42</v>
      </c>
    </row>
    <row r="1438" spans="8:8" x14ac:dyDescent="0.35">
      <c r="H1438" s="36" t="s">
        <v>42</v>
      </c>
    </row>
    <row r="1439" spans="8:8" x14ac:dyDescent="0.35">
      <c r="H1439" s="36" t="s">
        <v>42</v>
      </c>
    </row>
    <row r="1440" spans="8:8" x14ac:dyDescent="0.35">
      <c r="H1440" s="36" t="s">
        <v>42</v>
      </c>
    </row>
    <row r="1441" spans="8:8" x14ac:dyDescent="0.35">
      <c r="H1441" s="36" t="s">
        <v>42</v>
      </c>
    </row>
    <row r="1442" spans="8:8" x14ac:dyDescent="0.35">
      <c r="H1442" s="36" t="s">
        <v>42</v>
      </c>
    </row>
    <row r="1443" spans="8:8" x14ac:dyDescent="0.35">
      <c r="H1443" s="36" t="s">
        <v>42</v>
      </c>
    </row>
    <row r="1444" spans="8:8" x14ac:dyDescent="0.35">
      <c r="H1444" s="36" t="s">
        <v>42</v>
      </c>
    </row>
    <row r="1445" spans="8:8" x14ac:dyDescent="0.35">
      <c r="H1445" s="36" t="s">
        <v>42</v>
      </c>
    </row>
    <row r="1446" spans="8:8" x14ac:dyDescent="0.35">
      <c r="H1446" s="36" t="s">
        <v>42</v>
      </c>
    </row>
    <row r="1447" spans="8:8" x14ac:dyDescent="0.35">
      <c r="H1447" s="36" t="s">
        <v>42</v>
      </c>
    </row>
    <row r="1448" spans="8:8" x14ac:dyDescent="0.35">
      <c r="H1448" s="36" t="s">
        <v>42</v>
      </c>
    </row>
    <row r="1449" spans="8:8" x14ac:dyDescent="0.35">
      <c r="H1449" s="36" t="s">
        <v>42</v>
      </c>
    </row>
    <row r="1450" spans="8:8" x14ac:dyDescent="0.35">
      <c r="H1450" s="36" t="s">
        <v>42</v>
      </c>
    </row>
    <row r="1451" spans="8:8" x14ac:dyDescent="0.35">
      <c r="H1451" s="36" t="s">
        <v>42</v>
      </c>
    </row>
    <row r="1452" spans="8:8" x14ac:dyDescent="0.35">
      <c r="H1452" s="36" t="s">
        <v>42</v>
      </c>
    </row>
    <row r="1453" spans="8:8" x14ac:dyDescent="0.35">
      <c r="H1453" s="36" t="s">
        <v>42</v>
      </c>
    </row>
    <row r="1454" spans="8:8" x14ac:dyDescent="0.35">
      <c r="H1454" s="36" t="s">
        <v>42</v>
      </c>
    </row>
    <row r="1455" spans="8:8" x14ac:dyDescent="0.35">
      <c r="H1455" s="36" t="s">
        <v>42</v>
      </c>
    </row>
    <row r="1456" spans="8:8" x14ac:dyDescent="0.35">
      <c r="H1456" s="36" t="s">
        <v>42</v>
      </c>
    </row>
    <row r="1457" spans="8:8" x14ac:dyDescent="0.35">
      <c r="H1457" s="36" t="s">
        <v>42</v>
      </c>
    </row>
    <row r="1458" spans="8:8" x14ac:dyDescent="0.35">
      <c r="H1458" s="36" t="s">
        <v>42</v>
      </c>
    </row>
    <row r="1459" spans="8:8" x14ac:dyDescent="0.35">
      <c r="H1459" s="36" t="s">
        <v>42</v>
      </c>
    </row>
    <row r="1460" spans="8:8" x14ac:dyDescent="0.35">
      <c r="H1460" s="36" t="s">
        <v>42</v>
      </c>
    </row>
    <row r="1461" spans="8:8" x14ac:dyDescent="0.35">
      <c r="H1461" s="36" t="s">
        <v>42</v>
      </c>
    </row>
    <row r="1462" spans="8:8" x14ac:dyDescent="0.35">
      <c r="H1462" s="36" t="s">
        <v>42</v>
      </c>
    </row>
    <row r="1463" spans="8:8" x14ac:dyDescent="0.35">
      <c r="H1463" s="36" t="s">
        <v>42</v>
      </c>
    </row>
    <row r="1464" spans="8:8" x14ac:dyDescent="0.35">
      <c r="H1464" s="36" t="s">
        <v>42</v>
      </c>
    </row>
    <row r="1465" spans="8:8" x14ac:dyDescent="0.35">
      <c r="H1465" s="36" t="s">
        <v>42</v>
      </c>
    </row>
    <row r="1466" spans="8:8" x14ac:dyDescent="0.35">
      <c r="H1466" s="36" t="s">
        <v>42</v>
      </c>
    </row>
    <row r="1467" spans="8:8" x14ac:dyDescent="0.35">
      <c r="H1467" s="36" t="s">
        <v>42</v>
      </c>
    </row>
    <row r="1468" spans="8:8" x14ac:dyDescent="0.35">
      <c r="H1468" s="36" t="s">
        <v>42</v>
      </c>
    </row>
    <row r="1469" spans="8:8" x14ac:dyDescent="0.35">
      <c r="H1469" s="36" t="s">
        <v>42</v>
      </c>
    </row>
    <row r="1470" spans="8:8" x14ac:dyDescent="0.35">
      <c r="H1470" s="36" t="s">
        <v>42</v>
      </c>
    </row>
    <row r="1471" spans="8:8" x14ac:dyDescent="0.35">
      <c r="H1471" s="36" t="s">
        <v>42</v>
      </c>
    </row>
    <row r="1472" spans="8:8" x14ac:dyDescent="0.35">
      <c r="H1472" s="36" t="s">
        <v>42</v>
      </c>
    </row>
    <row r="1473" spans="8:8" x14ac:dyDescent="0.35">
      <c r="H1473" s="36" t="s">
        <v>42</v>
      </c>
    </row>
    <row r="1474" spans="8:8" x14ac:dyDescent="0.35">
      <c r="H1474" s="36" t="s">
        <v>42</v>
      </c>
    </row>
    <row r="1475" spans="8:8" x14ac:dyDescent="0.35">
      <c r="H1475" s="36" t="s">
        <v>42</v>
      </c>
    </row>
    <row r="1476" spans="8:8" x14ac:dyDescent="0.35">
      <c r="H1476" s="36" t="s">
        <v>42</v>
      </c>
    </row>
    <row r="1477" spans="8:8" x14ac:dyDescent="0.35">
      <c r="H1477" s="36" t="s">
        <v>42</v>
      </c>
    </row>
    <row r="1478" spans="8:8" x14ac:dyDescent="0.35">
      <c r="H1478" s="36" t="s">
        <v>42</v>
      </c>
    </row>
    <row r="1479" spans="8:8" x14ac:dyDescent="0.35">
      <c r="H1479" s="36" t="s">
        <v>42</v>
      </c>
    </row>
    <row r="1480" spans="8:8" x14ac:dyDescent="0.35">
      <c r="H1480" s="36" t="s">
        <v>42</v>
      </c>
    </row>
    <row r="1481" spans="8:8" x14ac:dyDescent="0.35">
      <c r="H1481" s="36" t="s">
        <v>42</v>
      </c>
    </row>
    <row r="1482" spans="8:8" x14ac:dyDescent="0.35">
      <c r="H1482" s="36" t="s">
        <v>42</v>
      </c>
    </row>
    <row r="1483" spans="8:8" x14ac:dyDescent="0.35">
      <c r="H1483" s="36" t="s">
        <v>42</v>
      </c>
    </row>
    <row r="1484" spans="8:8" x14ac:dyDescent="0.35">
      <c r="H1484" s="36" t="s">
        <v>42</v>
      </c>
    </row>
    <row r="1485" spans="8:8" x14ac:dyDescent="0.35">
      <c r="H1485" s="36" t="s">
        <v>42</v>
      </c>
    </row>
    <row r="1486" spans="8:8" x14ac:dyDescent="0.35">
      <c r="H1486" s="36" t="s">
        <v>42</v>
      </c>
    </row>
    <row r="1487" spans="8:8" x14ac:dyDescent="0.35">
      <c r="H1487" s="36" t="s">
        <v>42</v>
      </c>
    </row>
    <row r="1488" spans="8:8" x14ac:dyDescent="0.35">
      <c r="H1488" s="36" t="s">
        <v>42</v>
      </c>
    </row>
    <row r="1489" spans="8:8" x14ac:dyDescent="0.35">
      <c r="H1489" s="36" t="s">
        <v>42</v>
      </c>
    </row>
    <row r="1490" spans="8:8" x14ac:dyDescent="0.35">
      <c r="H1490" s="36" t="s">
        <v>42</v>
      </c>
    </row>
    <row r="1491" spans="8:8" x14ac:dyDescent="0.35">
      <c r="H1491" s="36" t="s">
        <v>42</v>
      </c>
    </row>
    <row r="1492" spans="8:8" x14ac:dyDescent="0.35">
      <c r="H1492" s="36" t="s">
        <v>42</v>
      </c>
    </row>
    <row r="1493" spans="8:8" x14ac:dyDescent="0.35">
      <c r="H1493" s="36" t="s">
        <v>42</v>
      </c>
    </row>
    <row r="1494" spans="8:8" x14ac:dyDescent="0.35">
      <c r="H1494" s="36" t="s">
        <v>42</v>
      </c>
    </row>
    <row r="1495" spans="8:8" x14ac:dyDescent="0.35">
      <c r="H1495" s="36" t="s">
        <v>42</v>
      </c>
    </row>
    <row r="1496" spans="8:8" x14ac:dyDescent="0.35">
      <c r="H1496" s="36" t="s">
        <v>42</v>
      </c>
    </row>
    <row r="1497" spans="8:8" x14ac:dyDescent="0.35">
      <c r="H1497" s="36" t="s">
        <v>42</v>
      </c>
    </row>
    <row r="1498" spans="8:8" x14ac:dyDescent="0.35">
      <c r="H1498" s="36" t="s">
        <v>42</v>
      </c>
    </row>
    <row r="1499" spans="8:8" x14ac:dyDescent="0.35">
      <c r="H1499" s="36" t="s">
        <v>42</v>
      </c>
    </row>
    <row r="1500" spans="8:8" x14ac:dyDescent="0.35">
      <c r="H1500" s="36" t="s">
        <v>42</v>
      </c>
    </row>
    <row r="1501" spans="8:8" x14ac:dyDescent="0.35">
      <c r="H1501" s="36" t="s">
        <v>42</v>
      </c>
    </row>
    <row r="1502" spans="8:8" x14ac:dyDescent="0.35">
      <c r="H1502" s="36" t="s">
        <v>42</v>
      </c>
    </row>
    <row r="1503" spans="8:8" x14ac:dyDescent="0.35">
      <c r="H1503" s="36" t="s">
        <v>42</v>
      </c>
    </row>
    <row r="1504" spans="8:8" x14ac:dyDescent="0.35">
      <c r="H1504" s="36" t="s">
        <v>42</v>
      </c>
    </row>
    <row r="1505" spans="8:8" x14ac:dyDescent="0.35">
      <c r="H1505" s="36" t="s">
        <v>42</v>
      </c>
    </row>
    <row r="1506" spans="8:8" x14ac:dyDescent="0.35">
      <c r="H1506" s="36" t="s">
        <v>42</v>
      </c>
    </row>
    <row r="1507" spans="8:8" x14ac:dyDescent="0.35">
      <c r="H1507" s="36" t="s">
        <v>42</v>
      </c>
    </row>
    <row r="1508" spans="8:8" x14ac:dyDescent="0.35">
      <c r="H1508" s="36" t="s">
        <v>42</v>
      </c>
    </row>
    <row r="1509" spans="8:8" x14ac:dyDescent="0.35">
      <c r="H1509" s="36" t="s">
        <v>42</v>
      </c>
    </row>
    <row r="1510" spans="8:8" x14ac:dyDescent="0.35">
      <c r="H1510" s="36" t="s">
        <v>42</v>
      </c>
    </row>
    <row r="1511" spans="8:8" x14ac:dyDescent="0.35">
      <c r="H1511" s="36" t="s">
        <v>42</v>
      </c>
    </row>
    <row r="1512" spans="8:8" x14ac:dyDescent="0.35">
      <c r="H1512" s="36" t="s">
        <v>42</v>
      </c>
    </row>
    <row r="1513" spans="8:8" x14ac:dyDescent="0.35">
      <c r="H1513" s="36" t="s">
        <v>42</v>
      </c>
    </row>
    <row r="1514" spans="8:8" x14ac:dyDescent="0.35">
      <c r="H1514" s="36" t="s">
        <v>42</v>
      </c>
    </row>
    <row r="1515" spans="8:8" x14ac:dyDescent="0.35">
      <c r="H1515" s="36" t="s">
        <v>42</v>
      </c>
    </row>
    <row r="1516" spans="8:8" x14ac:dyDescent="0.35">
      <c r="H1516" s="36" t="s">
        <v>42</v>
      </c>
    </row>
    <row r="1517" spans="8:8" x14ac:dyDescent="0.35">
      <c r="H1517" s="36" t="s">
        <v>42</v>
      </c>
    </row>
    <row r="1518" spans="8:8" x14ac:dyDescent="0.35">
      <c r="H1518" s="36" t="s">
        <v>42</v>
      </c>
    </row>
    <row r="1519" spans="8:8" x14ac:dyDescent="0.35">
      <c r="H1519" s="36" t="s">
        <v>42</v>
      </c>
    </row>
    <row r="1520" spans="8:8" x14ac:dyDescent="0.35">
      <c r="H1520" s="36" t="s">
        <v>42</v>
      </c>
    </row>
    <row r="1521" spans="8:8" x14ac:dyDescent="0.35">
      <c r="H1521" s="36" t="s">
        <v>42</v>
      </c>
    </row>
    <row r="1522" spans="8:8" x14ac:dyDescent="0.35">
      <c r="H1522" s="36" t="s">
        <v>42</v>
      </c>
    </row>
    <row r="1523" spans="8:8" x14ac:dyDescent="0.35">
      <c r="H1523" s="36" t="s">
        <v>42</v>
      </c>
    </row>
    <row r="1524" spans="8:8" x14ac:dyDescent="0.35">
      <c r="H1524" s="36" t="s">
        <v>42</v>
      </c>
    </row>
    <row r="1525" spans="8:8" x14ac:dyDescent="0.35">
      <c r="H1525" s="36" t="s">
        <v>42</v>
      </c>
    </row>
    <row r="1526" spans="8:8" x14ac:dyDescent="0.35">
      <c r="H1526" s="36" t="s">
        <v>42</v>
      </c>
    </row>
    <row r="1527" spans="8:8" x14ac:dyDescent="0.35">
      <c r="H1527" s="36" t="s">
        <v>42</v>
      </c>
    </row>
    <row r="1528" spans="8:8" x14ac:dyDescent="0.35">
      <c r="H1528" s="36" t="s">
        <v>42</v>
      </c>
    </row>
    <row r="1529" spans="8:8" x14ac:dyDescent="0.35">
      <c r="H1529" s="36" t="s">
        <v>42</v>
      </c>
    </row>
    <row r="1530" spans="8:8" x14ac:dyDescent="0.35">
      <c r="H1530" s="36" t="s">
        <v>42</v>
      </c>
    </row>
    <row r="1531" spans="8:8" x14ac:dyDescent="0.35">
      <c r="H1531" s="36" t="s">
        <v>42</v>
      </c>
    </row>
    <row r="1532" spans="8:8" x14ac:dyDescent="0.35">
      <c r="H1532" s="36" t="s">
        <v>42</v>
      </c>
    </row>
    <row r="1533" spans="8:8" x14ac:dyDescent="0.35">
      <c r="H1533" s="36" t="s">
        <v>42</v>
      </c>
    </row>
    <row r="1534" spans="8:8" x14ac:dyDescent="0.35">
      <c r="H1534" s="36" t="s">
        <v>42</v>
      </c>
    </row>
    <row r="1535" spans="8:8" x14ac:dyDescent="0.35">
      <c r="H1535" s="36" t="s">
        <v>42</v>
      </c>
    </row>
    <row r="1536" spans="8:8" x14ac:dyDescent="0.35">
      <c r="H1536" s="36" t="s">
        <v>42</v>
      </c>
    </row>
    <row r="1537" spans="8:8" x14ac:dyDescent="0.35">
      <c r="H1537" s="36" t="s">
        <v>42</v>
      </c>
    </row>
    <row r="1538" spans="8:8" x14ac:dyDescent="0.35">
      <c r="H1538" s="36" t="s">
        <v>42</v>
      </c>
    </row>
    <row r="1539" spans="8:8" x14ac:dyDescent="0.35">
      <c r="H1539" s="36" t="s">
        <v>42</v>
      </c>
    </row>
    <row r="1540" spans="8:8" x14ac:dyDescent="0.35">
      <c r="H1540" s="36" t="s">
        <v>42</v>
      </c>
    </row>
    <row r="1541" spans="8:8" x14ac:dyDescent="0.35">
      <c r="H1541" s="36" t="s">
        <v>42</v>
      </c>
    </row>
    <row r="1542" spans="8:8" x14ac:dyDescent="0.35">
      <c r="H1542" s="36" t="s">
        <v>42</v>
      </c>
    </row>
    <row r="1543" spans="8:8" x14ac:dyDescent="0.35">
      <c r="H1543" s="36" t="s">
        <v>42</v>
      </c>
    </row>
    <row r="1544" spans="8:8" x14ac:dyDescent="0.35">
      <c r="H1544" s="36" t="s">
        <v>42</v>
      </c>
    </row>
    <row r="1545" spans="8:8" x14ac:dyDescent="0.35">
      <c r="H1545" s="36" t="s">
        <v>42</v>
      </c>
    </row>
    <row r="1546" spans="8:8" x14ac:dyDescent="0.35">
      <c r="H1546" s="36" t="s">
        <v>42</v>
      </c>
    </row>
    <row r="1547" spans="8:8" x14ac:dyDescent="0.35">
      <c r="H1547" s="36" t="s">
        <v>42</v>
      </c>
    </row>
    <row r="1548" spans="8:8" x14ac:dyDescent="0.35">
      <c r="H1548" s="36" t="s">
        <v>42</v>
      </c>
    </row>
    <row r="1549" spans="8:8" x14ac:dyDescent="0.35">
      <c r="H1549" s="36" t="s">
        <v>42</v>
      </c>
    </row>
    <row r="1550" spans="8:8" x14ac:dyDescent="0.35">
      <c r="H1550" s="36" t="s">
        <v>42</v>
      </c>
    </row>
    <row r="1551" spans="8:8" x14ac:dyDescent="0.35">
      <c r="H1551" s="36" t="s">
        <v>42</v>
      </c>
    </row>
    <row r="1552" spans="8:8" x14ac:dyDescent="0.35">
      <c r="H1552" s="36" t="s">
        <v>42</v>
      </c>
    </row>
    <row r="1553" spans="8:8" x14ac:dyDescent="0.35">
      <c r="H1553" s="36" t="s">
        <v>42</v>
      </c>
    </row>
    <row r="1554" spans="8:8" x14ac:dyDescent="0.35">
      <c r="H1554" s="36" t="s">
        <v>42</v>
      </c>
    </row>
    <row r="1555" spans="8:8" x14ac:dyDescent="0.35">
      <c r="H1555" s="36" t="s">
        <v>42</v>
      </c>
    </row>
    <row r="1556" spans="8:8" x14ac:dyDescent="0.35">
      <c r="H1556" s="36" t="s">
        <v>42</v>
      </c>
    </row>
    <row r="1557" spans="8:8" x14ac:dyDescent="0.35">
      <c r="H1557" s="36" t="s">
        <v>42</v>
      </c>
    </row>
    <row r="1558" spans="8:8" x14ac:dyDescent="0.35">
      <c r="H1558" s="36" t="s">
        <v>42</v>
      </c>
    </row>
    <row r="1559" spans="8:8" x14ac:dyDescent="0.35">
      <c r="H1559" s="36" t="s">
        <v>42</v>
      </c>
    </row>
    <row r="1560" spans="8:8" x14ac:dyDescent="0.35">
      <c r="H1560" s="36" t="s">
        <v>42</v>
      </c>
    </row>
    <row r="1561" spans="8:8" x14ac:dyDescent="0.35">
      <c r="H1561" s="36" t="s">
        <v>42</v>
      </c>
    </row>
    <row r="1562" spans="8:8" x14ac:dyDescent="0.35">
      <c r="H1562" s="36" t="s">
        <v>42</v>
      </c>
    </row>
    <row r="1563" spans="8:8" x14ac:dyDescent="0.35">
      <c r="H1563" s="36" t="s">
        <v>42</v>
      </c>
    </row>
    <row r="1564" spans="8:8" x14ac:dyDescent="0.35">
      <c r="H1564" s="36" t="s">
        <v>42</v>
      </c>
    </row>
    <row r="1565" spans="8:8" x14ac:dyDescent="0.35">
      <c r="H1565" s="36" t="s">
        <v>42</v>
      </c>
    </row>
    <row r="1566" spans="8:8" x14ac:dyDescent="0.35">
      <c r="H1566" s="36" t="s">
        <v>42</v>
      </c>
    </row>
    <row r="1567" spans="8:8" x14ac:dyDescent="0.35">
      <c r="H1567" s="36" t="s">
        <v>42</v>
      </c>
    </row>
    <row r="1568" spans="8:8" x14ac:dyDescent="0.35">
      <c r="H1568" s="36" t="s">
        <v>42</v>
      </c>
    </row>
    <row r="1569" spans="8:8" x14ac:dyDescent="0.35">
      <c r="H1569" s="36" t="s">
        <v>42</v>
      </c>
    </row>
    <row r="1570" spans="8:8" x14ac:dyDescent="0.35">
      <c r="H1570" s="36" t="s">
        <v>42</v>
      </c>
    </row>
    <row r="1571" spans="8:8" x14ac:dyDescent="0.35">
      <c r="H1571" s="36" t="s">
        <v>42</v>
      </c>
    </row>
    <row r="1572" spans="8:8" x14ac:dyDescent="0.35">
      <c r="H1572" s="36" t="s">
        <v>42</v>
      </c>
    </row>
    <row r="1573" spans="8:8" x14ac:dyDescent="0.35">
      <c r="H1573" s="36" t="s">
        <v>42</v>
      </c>
    </row>
    <row r="1574" spans="8:8" x14ac:dyDescent="0.35">
      <c r="H1574" s="36" t="s">
        <v>42</v>
      </c>
    </row>
    <row r="1575" spans="8:8" x14ac:dyDescent="0.35">
      <c r="H1575" s="36" t="s">
        <v>42</v>
      </c>
    </row>
    <row r="1576" spans="8:8" x14ac:dyDescent="0.35">
      <c r="H1576" s="36" t="s">
        <v>42</v>
      </c>
    </row>
    <row r="1577" spans="8:8" x14ac:dyDescent="0.35">
      <c r="H1577" s="36" t="s">
        <v>42</v>
      </c>
    </row>
    <row r="1578" spans="8:8" x14ac:dyDescent="0.35">
      <c r="H1578" s="36" t="s">
        <v>42</v>
      </c>
    </row>
    <row r="1579" spans="8:8" x14ac:dyDescent="0.35">
      <c r="H1579" s="36" t="s">
        <v>42</v>
      </c>
    </row>
    <row r="1580" spans="8:8" x14ac:dyDescent="0.35">
      <c r="H1580" s="36" t="s">
        <v>42</v>
      </c>
    </row>
    <row r="1581" spans="8:8" x14ac:dyDescent="0.35">
      <c r="H1581" s="36" t="s">
        <v>42</v>
      </c>
    </row>
    <row r="1582" spans="8:8" x14ac:dyDescent="0.35">
      <c r="H1582" s="36" t="s">
        <v>42</v>
      </c>
    </row>
    <row r="1583" spans="8:8" x14ac:dyDescent="0.35">
      <c r="H1583" s="36" t="s">
        <v>42</v>
      </c>
    </row>
    <row r="1584" spans="8:8" x14ac:dyDescent="0.35">
      <c r="H1584" s="36" t="s">
        <v>42</v>
      </c>
    </row>
    <row r="1585" spans="8:8" x14ac:dyDescent="0.35">
      <c r="H1585" s="36" t="s">
        <v>42</v>
      </c>
    </row>
    <row r="1586" spans="8:8" x14ac:dyDescent="0.35">
      <c r="H1586" s="36" t="s">
        <v>42</v>
      </c>
    </row>
    <row r="1587" spans="8:8" x14ac:dyDescent="0.35">
      <c r="H1587" s="36" t="s">
        <v>42</v>
      </c>
    </row>
    <row r="1588" spans="8:8" x14ac:dyDescent="0.35">
      <c r="H1588" s="36" t="s">
        <v>42</v>
      </c>
    </row>
    <row r="1589" spans="8:8" x14ac:dyDescent="0.35">
      <c r="H1589" s="36" t="s">
        <v>42</v>
      </c>
    </row>
    <row r="1590" spans="8:8" x14ac:dyDescent="0.35">
      <c r="H1590" s="36" t="s">
        <v>42</v>
      </c>
    </row>
    <row r="1591" spans="8:8" x14ac:dyDescent="0.35">
      <c r="H1591" s="36" t="s">
        <v>42</v>
      </c>
    </row>
    <row r="1592" spans="8:8" x14ac:dyDescent="0.35">
      <c r="H1592" s="36" t="s">
        <v>42</v>
      </c>
    </row>
    <row r="1593" spans="8:8" x14ac:dyDescent="0.35">
      <c r="H1593" s="36" t="s">
        <v>42</v>
      </c>
    </row>
    <row r="1594" spans="8:8" x14ac:dyDescent="0.35">
      <c r="H1594" s="36" t="s">
        <v>42</v>
      </c>
    </row>
    <row r="1595" spans="8:8" x14ac:dyDescent="0.35">
      <c r="H1595" s="36" t="s">
        <v>42</v>
      </c>
    </row>
    <row r="1596" spans="8:8" x14ac:dyDescent="0.35">
      <c r="H1596" s="36" t="s">
        <v>42</v>
      </c>
    </row>
    <row r="1597" spans="8:8" x14ac:dyDescent="0.35">
      <c r="H1597" s="36" t="s">
        <v>42</v>
      </c>
    </row>
    <row r="1598" spans="8:8" x14ac:dyDescent="0.35">
      <c r="H1598" s="36" t="s">
        <v>42</v>
      </c>
    </row>
    <row r="1599" spans="8:8" x14ac:dyDescent="0.35">
      <c r="H1599" s="36" t="s">
        <v>42</v>
      </c>
    </row>
    <row r="1600" spans="8:8" x14ac:dyDescent="0.35">
      <c r="H1600" s="36" t="s">
        <v>42</v>
      </c>
    </row>
    <row r="1601" spans="8:8" x14ac:dyDescent="0.35">
      <c r="H1601" s="36" t="s">
        <v>42</v>
      </c>
    </row>
    <row r="1602" spans="8:8" x14ac:dyDescent="0.35">
      <c r="H1602" s="36" t="s">
        <v>42</v>
      </c>
    </row>
    <row r="1603" spans="8:8" x14ac:dyDescent="0.35">
      <c r="H1603" s="36" t="s">
        <v>42</v>
      </c>
    </row>
    <row r="1604" spans="8:8" x14ac:dyDescent="0.35">
      <c r="H1604" s="36" t="s">
        <v>42</v>
      </c>
    </row>
    <row r="1605" spans="8:8" x14ac:dyDescent="0.35">
      <c r="H1605" s="36" t="s">
        <v>42</v>
      </c>
    </row>
    <row r="1606" spans="8:8" x14ac:dyDescent="0.35">
      <c r="H1606" s="36" t="s">
        <v>42</v>
      </c>
    </row>
    <row r="1607" spans="8:8" x14ac:dyDescent="0.35">
      <c r="H1607" s="36" t="s">
        <v>42</v>
      </c>
    </row>
    <row r="1608" spans="8:8" x14ac:dyDescent="0.35">
      <c r="H1608" s="36" t="s">
        <v>42</v>
      </c>
    </row>
    <row r="1609" spans="8:8" x14ac:dyDescent="0.35">
      <c r="H1609" s="36" t="s">
        <v>42</v>
      </c>
    </row>
    <row r="1610" spans="8:8" x14ac:dyDescent="0.35">
      <c r="H1610" s="36" t="s">
        <v>42</v>
      </c>
    </row>
    <row r="1611" spans="8:8" x14ac:dyDescent="0.35">
      <c r="H1611" s="36" t="s">
        <v>42</v>
      </c>
    </row>
    <row r="1612" spans="8:8" x14ac:dyDescent="0.35">
      <c r="H1612" s="36" t="s">
        <v>42</v>
      </c>
    </row>
    <row r="1613" spans="8:8" x14ac:dyDescent="0.35">
      <c r="H1613" s="36" t="s">
        <v>42</v>
      </c>
    </row>
    <row r="1614" spans="8:8" x14ac:dyDescent="0.35">
      <c r="H1614" s="36" t="s">
        <v>42</v>
      </c>
    </row>
    <row r="1615" spans="8:8" x14ac:dyDescent="0.35">
      <c r="H1615" s="36" t="s">
        <v>42</v>
      </c>
    </row>
    <row r="1616" spans="8:8" x14ac:dyDescent="0.35">
      <c r="H1616" s="36" t="s">
        <v>42</v>
      </c>
    </row>
    <row r="1617" spans="8:8" x14ac:dyDescent="0.35">
      <c r="H1617" s="36" t="s">
        <v>42</v>
      </c>
    </row>
    <row r="1618" spans="8:8" x14ac:dyDescent="0.35">
      <c r="H1618" s="36" t="s">
        <v>42</v>
      </c>
    </row>
    <row r="1619" spans="8:8" x14ac:dyDescent="0.35">
      <c r="H1619" s="36" t="s">
        <v>42</v>
      </c>
    </row>
    <row r="1620" spans="8:8" x14ac:dyDescent="0.35">
      <c r="H1620" s="36" t="s">
        <v>42</v>
      </c>
    </row>
    <row r="1621" spans="8:8" x14ac:dyDescent="0.35">
      <c r="H1621" s="36" t="s">
        <v>42</v>
      </c>
    </row>
    <row r="1622" spans="8:8" x14ac:dyDescent="0.35">
      <c r="H1622" s="36" t="s">
        <v>42</v>
      </c>
    </row>
    <row r="1623" spans="8:8" x14ac:dyDescent="0.35">
      <c r="H1623" s="36" t="s">
        <v>42</v>
      </c>
    </row>
    <row r="1624" spans="8:8" x14ac:dyDescent="0.35">
      <c r="H1624" s="36" t="s">
        <v>42</v>
      </c>
    </row>
    <row r="1625" spans="8:8" x14ac:dyDescent="0.35">
      <c r="H1625" s="36" t="s">
        <v>42</v>
      </c>
    </row>
    <row r="1626" spans="8:8" x14ac:dyDescent="0.35">
      <c r="H1626" s="36" t="s">
        <v>42</v>
      </c>
    </row>
    <row r="1627" spans="8:8" x14ac:dyDescent="0.35">
      <c r="H1627" s="36" t="s">
        <v>42</v>
      </c>
    </row>
    <row r="1628" spans="8:8" x14ac:dyDescent="0.35">
      <c r="H1628" s="36" t="s">
        <v>42</v>
      </c>
    </row>
    <row r="1629" spans="8:8" x14ac:dyDescent="0.35">
      <c r="H1629" s="36" t="s">
        <v>42</v>
      </c>
    </row>
    <row r="1630" spans="8:8" x14ac:dyDescent="0.35">
      <c r="H1630" s="36" t="s">
        <v>42</v>
      </c>
    </row>
    <row r="1631" spans="8:8" x14ac:dyDescent="0.35">
      <c r="H1631" s="36" t="s">
        <v>42</v>
      </c>
    </row>
    <row r="1632" spans="8:8" x14ac:dyDescent="0.35">
      <c r="H1632" s="36" t="s">
        <v>42</v>
      </c>
    </row>
    <row r="1633" spans="8:8" x14ac:dyDescent="0.35">
      <c r="H1633" s="36" t="s">
        <v>42</v>
      </c>
    </row>
    <row r="1634" spans="8:8" x14ac:dyDescent="0.35">
      <c r="H1634" s="36" t="s">
        <v>42</v>
      </c>
    </row>
    <row r="1635" spans="8:8" x14ac:dyDescent="0.35">
      <c r="H1635" s="36" t="s">
        <v>42</v>
      </c>
    </row>
    <row r="1636" spans="8:8" x14ac:dyDescent="0.35">
      <c r="H1636" s="36" t="s">
        <v>42</v>
      </c>
    </row>
    <row r="1637" spans="8:8" x14ac:dyDescent="0.35">
      <c r="H1637" s="36" t="s">
        <v>42</v>
      </c>
    </row>
    <row r="1638" spans="8:8" x14ac:dyDescent="0.35">
      <c r="H1638" s="36" t="s">
        <v>42</v>
      </c>
    </row>
    <row r="1639" spans="8:8" x14ac:dyDescent="0.35">
      <c r="H1639" s="36" t="s">
        <v>42</v>
      </c>
    </row>
    <row r="1640" spans="8:8" x14ac:dyDescent="0.35">
      <c r="H1640" s="36" t="s">
        <v>42</v>
      </c>
    </row>
    <row r="1641" spans="8:8" x14ac:dyDescent="0.35">
      <c r="H1641" s="36" t="s">
        <v>42</v>
      </c>
    </row>
    <row r="1642" spans="8:8" x14ac:dyDescent="0.35">
      <c r="H1642" s="36" t="s">
        <v>42</v>
      </c>
    </row>
    <row r="1643" spans="8:8" x14ac:dyDescent="0.35">
      <c r="H1643" s="36" t="s">
        <v>42</v>
      </c>
    </row>
    <row r="1644" spans="8:8" x14ac:dyDescent="0.35">
      <c r="H1644" s="36" t="s">
        <v>42</v>
      </c>
    </row>
    <row r="1645" spans="8:8" x14ac:dyDescent="0.35">
      <c r="H1645" s="36" t="s">
        <v>42</v>
      </c>
    </row>
    <row r="1646" spans="8:8" x14ac:dyDescent="0.35">
      <c r="H1646" s="36" t="s">
        <v>42</v>
      </c>
    </row>
    <row r="1647" spans="8:8" x14ac:dyDescent="0.35">
      <c r="H1647" s="36" t="s">
        <v>42</v>
      </c>
    </row>
    <row r="1648" spans="8:8" x14ac:dyDescent="0.35">
      <c r="H1648" s="36" t="s">
        <v>42</v>
      </c>
    </row>
    <row r="1649" spans="8:8" x14ac:dyDescent="0.35">
      <c r="H1649" s="36" t="s">
        <v>42</v>
      </c>
    </row>
    <row r="1650" spans="8:8" x14ac:dyDescent="0.35">
      <c r="H1650" s="36" t="s">
        <v>42</v>
      </c>
    </row>
    <row r="1651" spans="8:8" x14ac:dyDescent="0.35">
      <c r="H1651" s="36" t="s">
        <v>42</v>
      </c>
    </row>
    <row r="1652" spans="8:8" x14ac:dyDescent="0.35">
      <c r="H1652" s="36" t="s">
        <v>42</v>
      </c>
    </row>
    <row r="1653" spans="8:8" x14ac:dyDescent="0.35">
      <c r="H1653" s="36" t="s">
        <v>42</v>
      </c>
    </row>
    <row r="1654" spans="8:8" x14ac:dyDescent="0.35">
      <c r="H1654" s="36" t="s">
        <v>42</v>
      </c>
    </row>
    <row r="1655" spans="8:8" x14ac:dyDescent="0.35">
      <c r="H1655" s="36" t="s">
        <v>42</v>
      </c>
    </row>
    <row r="1656" spans="8:8" x14ac:dyDescent="0.35">
      <c r="H1656" s="36" t="s">
        <v>42</v>
      </c>
    </row>
    <row r="1657" spans="8:8" x14ac:dyDescent="0.35">
      <c r="H1657" s="36" t="s">
        <v>42</v>
      </c>
    </row>
    <row r="1658" spans="8:8" x14ac:dyDescent="0.35">
      <c r="H1658" s="36" t="s">
        <v>42</v>
      </c>
    </row>
    <row r="1659" spans="8:8" x14ac:dyDescent="0.35">
      <c r="H1659" s="36" t="s">
        <v>42</v>
      </c>
    </row>
    <row r="1660" spans="8:8" x14ac:dyDescent="0.35">
      <c r="H1660" s="36" t="s">
        <v>42</v>
      </c>
    </row>
    <row r="1661" spans="8:8" x14ac:dyDescent="0.35">
      <c r="H1661" s="36" t="s">
        <v>42</v>
      </c>
    </row>
    <row r="1662" spans="8:8" x14ac:dyDescent="0.35">
      <c r="H1662" s="36" t="s">
        <v>42</v>
      </c>
    </row>
    <row r="1663" spans="8:8" x14ac:dyDescent="0.35">
      <c r="H1663" s="36" t="s">
        <v>42</v>
      </c>
    </row>
    <row r="1664" spans="8:8" x14ac:dyDescent="0.35">
      <c r="H1664" s="36" t="s">
        <v>42</v>
      </c>
    </row>
    <row r="1665" spans="8:8" x14ac:dyDescent="0.35">
      <c r="H1665" s="36" t="s">
        <v>42</v>
      </c>
    </row>
    <row r="1666" spans="8:8" x14ac:dyDescent="0.35">
      <c r="H1666" s="36" t="s">
        <v>42</v>
      </c>
    </row>
    <row r="1667" spans="8:8" x14ac:dyDescent="0.35">
      <c r="H1667" s="36" t="s">
        <v>42</v>
      </c>
    </row>
    <row r="1668" spans="8:8" x14ac:dyDescent="0.35">
      <c r="H1668" s="36" t="s">
        <v>42</v>
      </c>
    </row>
    <row r="1669" spans="8:8" x14ac:dyDescent="0.35">
      <c r="H1669" s="36" t="s">
        <v>42</v>
      </c>
    </row>
    <row r="1670" spans="8:8" x14ac:dyDescent="0.35">
      <c r="H1670" s="36" t="s">
        <v>42</v>
      </c>
    </row>
    <row r="1671" spans="8:8" x14ac:dyDescent="0.35">
      <c r="H1671" s="36" t="s">
        <v>42</v>
      </c>
    </row>
    <row r="1672" spans="8:8" x14ac:dyDescent="0.35">
      <c r="H1672" s="36" t="s">
        <v>42</v>
      </c>
    </row>
    <row r="1673" spans="8:8" x14ac:dyDescent="0.35">
      <c r="H1673" s="36" t="s">
        <v>42</v>
      </c>
    </row>
    <row r="1674" spans="8:8" x14ac:dyDescent="0.35">
      <c r="H1674" s="36" t="s">
        <v>42</v>
      </c>
    </row>
    <row r="1675" spans="8:8" x14ac:dyDescent="0.35">
      <c r="H1675" s="36" t="s">
        <v>42</v>
      </c>
    </row>
    <row r="1676" spans="8:8" x14ac:dyDescent="0.35">
      <c r="H1676" s="36" t="s">
        <v>42</v>
      </c>
    </row>
    <row r="1677" spans="8:8" x14ac:dyDescent="0.35">
      <c r="H1677" s="36" t="s">
        <v>42</v>
      </c>
    </row>
    <row r="1678" spans="8:8" x14ac:dyDescent="0.35">
      <c r="H1678" s="36" t="s">
        <v>42</v>
      </c>
    </row>
    <row r="1679" spans="8:8" x14ac:dyDescent="0.35">
      <c r="H1679" s="36" t="s">
        <v>42</v>
      </c>
    </row>
    <row r="1680" spans="8:8" x14ac:dyDescent="0.35">
      <c r="H1680" s="36" t="s">
        <v>42</v>
      </c>
    </row>
    <row r="1681" spans="8:8" x14ac:dyDescent="0.35">
      <c r="H1681" s="36" t="s">
        <v>42</v>
      </c>
    </row>
    <row r="1682" spans="8:8" x14ac:dyDescent="0.35">
      <c r="H1682" s="36" t="s">
        <v>42</v>
      </c>
    </row>
    <row r="1683" spans="8:8" x14ac:dyDescent="0.35">
      <c r="H1683" s="36" t="s">
        <v>42</v>
      </c>
    </row>
    <row r="1684" spans="8:8" x14ac:dyDescent="0.35">
      <c r="H1684" s="36" t="s">
        <v>42</v>
      </c>
    </row>
    <row r="1685" spans="8:8" x14ac:dyDescent="0.35">
      <c r="H1685" s="36" t="s">
        <v>42</v>
      </c>
    </row>
    <row r="1686" spans="8:8" x14ac:dyDescent="0.35">
      <c r="H1686" s="36" t="s">
        <v>42</v>
      </c>
    </row>
    <row r="1687" spans="8:8" x14ac:dyDescent="0.35">
      <c r="H1687" s="36" t="s">
        <v>42</v>
      </c>
    </row>
    <row r="1688" spans="8:8" x14ac:dyDescent="0.35">
      <c r="H1688" s="36" t="s">
        <v>42</v>
      </c>
    </row>
    <row r="1689" spans="8:8" x14ac:dyDescent="0.35">
      <c r="H1689" s="36" t="s">
        <v>42</v>
      </c>
    </row>
    <row r="1690" spans="8:8" x14ac:dyDescent="0.35">
      <c r="H1690" s="36" t="s">
        <v>42</v>
      </c>
    </row>
    <row r="1691" spans="8:8" x14ac:dyDescent="0.35">
      <c r="H1691" s="36" t="s">
        <v>42</v>
      </c>
    </row>
    <row r="1692" spans="8:8" x14ac:dyDescent="0.35">
      <c r="H1692" s="36" t="s">
        <v>42</v>
      </c>
    </row>
    <row r="1693" spans="8:8" x14ac:dyDescent="0.35">
      <c r="H1693" s="36" t="s">
        <v>42</v>
      </c>
    </row>
    <row r="1694" spans="8:8" x14ac:dyDescent="0.35">
      <c r="H1694" s="36" t="s">
        <v>42</v>
      </c>
    </row>
    <row r="1695" spans="8:8" x14ac:dyDescent="0.35">
      <c r="H1695" s="36" t="s">
        <v>42</v>
      </c>
    </row>
    <row r="1696" spans="8:8" x14ac:dyDescent="0.35">
      <c r="H1696" s="36" t="s">
        <v>42</v>
      </c>
    </row>
    <row r="1697" spans="8:8" x14ac:dyDescent="0.35">
      <c r="H1697" s="36" t="s">
        <v>42</v>
      </c>
    </row>
    <row r="1698" spans="8:8" x14ac:dyDescent="0.35">
      <c r="H1698" s="36" t="s">
        <v>42</v>
      </c>
    </row>
    <row r="1699" spans="8:8" x14ac:dyDescent="0.35">
      <c r="H1699" s="36" t="s">
        <v>42</v>
      </c>
    </row>
    <row r="1700" spans="8:8" x14ac:dyDescent="0.35">
      <c r="H1700" s="36" t="s">
        <v>42</v>
      </c>
    </row>
    <row r="1701" spans="8:8" x14ac:dyDescent="0.35">
      <c r="H1701" s="36" t="s">
        <v>42</v>
      </c>
    </row>
    <row r="1702" spans="8:8" x14ac:dyDescent="0.35">
      <c r="H1702" s="36" t="s">
        <v>42</v>
      </c>
    </row>
    <row r="1703" spans="8:8" x14ac:dyDescent="0.35">
      <c r="H1703" s="36" t="s">
        <v>42</v>
      </c>
    </row>
    <row r="1704" spans="8:8" x14ac:dyDescent="0.35">
      <c r="H1704" s="36" t="s">
        <v>42</v>
      </c>
    </row>
    <row r="1705" spans="8:8" x14ac:dyDescent="0.35">
      <c r="H1705" s="36" t="s">
        <v>42</v>
      </c>
    </row>
    <row r="1706" spans="8:8" x14ac:dyDescent="0.35">
      <c r="H1706" s="36" t="s">
        <v>42</v>
      </c>
    </row>
    <row r="1707" spans="8:8" x14ac:dyDescent="0.35">
      <c r="H1707" s="36" t="s">
        <v>42</v>
      </c>
    </row>
    <row r="1708" spans="8:8" x14ac:dyDescent="0.35">
      <c r="H1708" s="36" t="s">
        <v>42</v>
      </c>
    </row>
    <row r="1709" spans="8:8" x14ac:dyDescent="0.35">
      <c r="H1709" s="36" t="s">
        <v>42</v>
      </c>
    </row>
    <row r="1710" spans="8:8" x14ac:dyDescent="0.35">
      <c r="H1710" s="36" t="s">
        <v>42</v>
      </c>
    </row>
    <row r="1711" spans="8:8" x14ac:dyDescent="0.35">
      <c r="H1711" s="36" t="s">
        <v>42</v>
      </c>
    </row>
    <row r="1712" spans="8:8" x14ac:dyDescent="0.35">
      <c r="H1712" s="36" t="s">
        <v>42</v>
      </c>
    </row>
    <row r="1713" spans="8:8" x14ac:dyDescent="0.35">
      <c r="H1713" s="36" t="s">
        <v>42</v>
      </c>
    </row>
    <row r="1714" spans="8:8" x14ac:dyDescent="0.35">
      <c r="H1714" s="36" t="s">
        <v>42</v>
      </c>
    </row>
    <row r="1715" spans="8:8" x14ac:dyDescent="0.35">
      <c r="H1715" s="36" t="s">
        <v>42</v>
      </c>
    </row>
    <row r="1716" spans="8:8" x14ac:dyDescent="0.35">
      <c r="H1716" s="36" t="s">
        <v>42</v>
      </c>
    </row>
    <row r="1717" spans="8:8" x14ac:dyDescent="0.35">
      <c r="H1717" s="36" t="s">
        <v>42</v>
      </c>
    </row>
    <row r="1718" spans="8:8" x14ac:dyDescent="0.35">
      <c r="H1718" s="36" t="s">
        <v>42</v>
      </c>
    </row>
    <row r="1719" spans="8:8" x14ac:dyDescent="0.35">
      <c r="H1719" s="36" t="s">
        <v>42</v>
      </c>
    </row>
    <row r="1720" spans="8:8" x14ac:dyDescent="0.35">
      <c r="H1720" s="36" t="s">
        <v>42</v>
      </c>
    </row>
    <row r="1721" spans="8:8" x14ac:dyDescent="0.35">
      <c r="H1721" s="36" t="s">
        <v>42</v>
      </c>
    </row>
    <row r="1722" spans="8:8" x14ac:dyDescent="0.35">
      <c r="H1722" s="36" t="s">
        <v>42</v>
      </c>
    </row>
    <row r="1723" spans="8:8" x14ac:dyDescent="0.35">
      <c r="H1723" s="36" t="s">
        <v>42</v>
      </c>
    </row>
    <row r="1724" spans="8:8" x14ac:dyDescent="0.35">
      <c r="H1724" s="36" t="s">
        <v>42</v>
      </c>
    </row>
    <row r="1725" spans="8:8" x14ac:dyDescent="0.35">
      <c r="H1725" s="36" t="s">
        <v>42</v>
      </c>
    </row>
    <row r="1726" spans="8:8" x14ac:dyDescent="0.35">
      <c r="H1726" s="36" t="s">
        <v>42</v>
      </c>
    </row>
    <row r="1727" spans="8:8" x14ac:dyDescent="0.35">
      <c r="H1727" s="36" t="s">
        <v>42</v>
      </c>
    </row>
    <row r="1728" spans="8:8" x14ac:dyDescent="0.35">
      <c r="H1728" s="36" t="s">
        <v>42</v>
      </c>
    </row>
    <row r="1729" spans="8:8" x14ac:dyDescent="0.35">
      <c r="H1729" s="36" t="s">
        <v>42</v>
      </c>
    </row>
    <row r="1730" spans="8:8" x14ac:dyDescent="0.35">
      <c r="H1730" s="36" t="s">
        <v>42</v>
      </c>
    </row>
    <row r="1731" spans="8:8" x14ac:dyDescent="0.35">
      <c r="H1731" s="36" t="s">
        <v>42</v>
      </c>
    </row>
    <row r="1732" spans="8:8" x14ac:dyDescent="0.35">
      <c r="H1732" s="36" t="s">
        <v>42</v>
      </c>
    </row>
    <row r="1733" spans="8:8" x14ac:dyDescent="0.35">
      <c r="H1733" s="36" t="s">
        <v>42</v>
      </c>
    </row>
    <row r="1734" spans="8:8" x14ac:dyDescent="0.35">
      <c r="H1734" s="36" t="s">
        <v>42</v>
      </c>
    </row>
    <row r="1735" spans="8:8" x14ac:dyDescent="0.35">
      <c r="H1735" s="36" t="s">
        <v>42</v>
      </c>
    </row>
    <row r="1736" spans="8:8" x14ac:dyDescent="0.35">
      <c r="H1736" s="36" t="s">
        <v>42</v>
      </c>
    </row>
    <row r="1737" spans="8:8" x14ac:dyDescent="0.35">
      <c r="H1737" s="36" t="s">
        <v>42</v>
      </c>
    </row>
    <row r="1738" spans="8:8" x14ac:dyDescent="0.35">
      <c r="H1738" s="36" t="s">
        <v>42</v>
      </c>
    </row>
    <row r="1739" spans="8:8" x14ac:dyDescent="0.35">
      <c r="H1739" s="36" t="s">
        <v>42</v>
      </c>
    </row>
    <row r="1740" spans="8:8" x14ac:dyDescent="0.35">
      <c r="H1740" s="36" t="s">
        <v>42</v>
      </c>
    </row>
    <row r="1741" spans="8:8" x14ac:dyDescent="0.35">
      <c r="H1741" s="36" t="s">
        <v>42</v>
      </c>
    </row>
    <row r="1742" spans="8:8" x14ac:dyDescent="0.35">
      <c r="H1742" s="36" t="s">
        <v>42</v>
      </c>
    </row>
    <row r="1743" spans="8:8" x14ac:dyDescent="0.35">
      <c r="H1743" s="36" t="s">
        <v>42</v>
      </c>
    </row>
    <row r="1744" spans="8:8" x14ac:dyDescent="0.35">
      <c r="H1744" s="36" t="s">
        <v>42</v>
      </c>
    </row>
    <row r="1745" spans="8:8" x14ac:dyDescent="0.35">
      <c r="H1745" s="36" t="s">
        <v>42</v>
      </c>
    </row>
    <row r="1746" spans="8:8" x14ac:dyDescent="0.35">
      <c r="H1746" s="36" t="s">
        <v>42</v>
      </c>
    </row>
    <row r="1747" spans="8:8" x14ac:dyDescent="0.35">
      <c r="H1747" s="36" t="s">
        <v>42</v>
      </c>
    </row>
    <row r="1748" spans="8:8" x14ac:dyDescent="0.35">
      <c r="H1748" s="36" t="s">
        <v>42</v>
      </c>
    </row>
    <row r="1749" spans="8:8" x14ac:dyDescent="0.35">
      <c r="H1749" s="36" t="s">
        <v>42</v>
      </c>
    </row>
    <row r="1750" spans="8:8" x14ac:dyDescent="0.35">
      <c r="H1750" s="36" t="s">
        <v>42</v>
      </c>
    </row>
    <row r="1751" spans="8:8" x14ac:dyDescent="0.35">
      <c r="H1751" s="36" t="s">
        <v>42</v>
      </c>
    </row>
    <row r="1752" spans="8:8" x14ac:dyDescent="0.35">
      <c r="H1752" s="36" t="s">
        <v>42</v>
      </c>
    </row>
    <row r="1753" spans="8:8" x14ac:dyDescent="0.35">
      <c r="H1753" s="36" t="s">
        <v>42</v>
      </c>
    </row>
    <row r="1754" spans="8:8" x14ac:dyDescent="0.35">
      <c r="H1754" s="36" t="s">
        <v>42</v>
      </c>
    </row>
    <row r="1755" spans="8:8" x14ac:dyDescent="0.35">
      <c r="H1755" s="36" t="s">
        <v>42</v>
      </c>
    </row>
    <row r="1756" spans="8:8" x14ac:dyDescent="0.35">
      <c r="H1756" s="36" t="s">
        <v>42</v>
      </c>
    </row>
    <row r="1757" spans="8:8" x14ac:dyDescent="0.35">
      <c r="H1757" s="36" t="s">
        <v>42</v>
      </c>
    </row>
    <row r="1758" spans="8:8" x14ac:dyDescent="0.35">
      <c r="H1758" s="36" t="s">
        <v>42</v>
      </c>
    </row>
    <row r="1759" spans="8:8" x14ac:dyDescent="0.35">
      <c r="H1759" s="36" t="s">
        <v>42</v>
      </c>
    </row>
    <row r="1760" spans="8:8" x14ac:dyDescent="0.35">
      <c r="H1760" s="36" t="s">
        <v>42</v>
      </c>
    </row>
    <row r="1761" spans="8:8" x14ac:dyDescent="0.35">
      <c r="H1761" s="36" t="s">
        <v>42</v>
      </c>
    </row>
    <row r="1762" spans="8:8" x14ac:dyDescent="0.35">
      <c r="H1762" s="36" t="s">
        <v>42</v>
      </c>
    </row>
    <row r="1763" spans="8:8" x14ac:dyDescent="0.35">
      <c r="H1763" s="36" t="s">
        <v>42</v>
      </c>
    </row>
    <row r="1764" spans="8:8" x14ac:dyDescent="0.35">
      <c r="H1764" s="36" t="s">
        <v>42</v>
      </c>
    </row>
    <row r="1765" spans="8:8" x14ac:dyDescent="0.35">
      <c r="H1765" s="36" t="s">
        <v>42</v>
      </c>
    </row>
    <row r="1766" spans="8:8" x14ac:dyDescent="0.35">
      <c r="H1766" s="36" t="s">
        <v>42</v>
      </c>
    </row>
    <row r="1767" spans="8:8" x14ac:dyDescent="0.35">
      <c r="H1767" s="36" t="s">
        <v>42</v>
      </c>
    </row>
    <row r="1768" spans="8:8" x14ac:dyDescent="0.35">
      <c r="H1768" s="36" t="s">
        <v>42</v>
      </c>
    </row>
    <row r="1769" spans="8:8" x14ac:dyDescent="0.35">
      <c r="H1769" s="36" t="s">
        <v>42</v>
      </c>
    </row>
    <row r="1770" spans="8:8" x14ac:dyDescent="0.35">
      <c r="H1770" s="36" t="s">
        <v>42</v>
      </c>
    </row>
    <row r="1771" spans="8:8" x14ac:dyDescent="0.35">
      <c r="H1771" s="36" t="s">
        <v>42</v>
      </c>
    </row>
    <row r="1772" spans="8:8" x14ac:dyDescent="0.35">
      <c r="H1772" s="36" t="s">
        <v>42</v>
      </c>
    </row>
    <row r="1773" spans="8:8" x14ac:dyDescent="0.35">
      <c r="H1773" s="36" t="s">
        <v>42</v>
      </c>
    </row>
    <row r="1774" spans="8:8" x14ac:dyDescent="0.35">
      <c r="H1774" s="36" t="s">
        <v>42</v>
      </c>
    </row>
    <row r="1775" spans="8:8" x14ac:dyDescent="0.35">
      <c r="H1775" s="36" t="s">
        <v>42</v>
      </c>
    </row>
    <row r="1776" spans="8:8" x14ac:dyDescent="0.35">
      <c r="H1776" s="36" t="s">
        <v>42</v>
      </c>
    </row>
    <row r="1777" spans="8:8" x14ac:dyDescent="0.35">
      <c r="H1777" s="36" t="s">
        <v>42</v>
      </c>
    </row>
    <row r="1778" spans="8:8" x14ac:dyDescent="0.35">
      <c r="H1778" s="36" t="s">
        <v>42</v>
      </c>
    </row>
    <row r="1779" spans="8:8" x14ac:dyDescent="0.35">
      <c r="H1779" s="36" t="s">
        <v>42</v>
      </c>
    </row>
    <row r="1780" spans="8:8" x14ac:dyDescent="0.35">
      <c r="H1780" s="36" t="s">
        <v>42</v>
      </c>
    </row>
    <row r="1781" spans="8:8" x14ac:dyDescent="0.35">
      <c r="H1781" s="36" t="s">
        <v>42</v>
      </c>
    </row>
    <row r="1782" spans="8:8" x14ac:dyDescent="0.35">
      <c r="H1782" s="36" t="s">
        <v>42</v>
      </c>
    </row>
    <row r="1783" spans="8:8" x14ac:dyDescent="0.35">
      <c r="H1783" s="36" t="s">
        <v>42</v>
      </c>
    </row>
    <row r="1784" spans="8:8" x14ac:dyDescent="0.35">
      <c r="H1784" s="36" t="s">
        <v>42</v>
      </c>
    </row>
    <row r="1785" spans="8:8" x14ac:dyDescent="0.35">
      <c r="H1785" s="36" t="s">
        <v>42</v>
      </c>
    </row>
    <row r="1786" spans="8:8" x14ac:dyDescent="0.35">
      <c r="H1786" s="36" t="s">
        <v>42</v>
      </c>
    </row>
    <row r="1787" spans="8:8" x14ac:dyDescent="0.35">
      <c r="H1787" s="36" t="s">
        <v>42</v>
      </c>
    </row>
    <row r="1788" spans="8:8" x14ac:dyDescent="0.35">
      <c r="H1788" s="36" t="s">
        <v>42</v>
      </c>
    </row>
    <row r="1789" spans="8:8" x14ac:dyDescent="0.35">
      <c r="H1789" s="36" t="s">
        <v>42</v>
      </c>
    </row>
    <row r="1790" spans="8:8" x14ac:dyDescent="0.35">
      <c r="H1790" s="36" t="s">
        <v>42</v>
      </c>
    </row>
    <row r="1791" spans="8:8" x14ac:dyDescent="0.35">
      <c r="H1791" s="36" t="s">
        <v>42</v>
      </c>
    </row>
    <row r="1792" spans="8:8" x14ac:dyDescent="0.35">
      <c r="H1792" s="36" t="s">
        <v>42</v>
      </c>
    </row>
    <row r="1793" spans="8:8" x14ac:dyDescent="0.35">
      <c r="H1793" s="36" t="s">
        <v>42</v>
      </c>
    </row>
    <row r="1794" spans="8:8" x14ac:dyDescent="0.35">
      <c r="H1794" s="36" t="s">
        <v>42</v>
      </c>
    </row>
    <row r="1795" spans="8:8" x14ac:dyDescent="0.35">
      <c r="H1795" s="36" t="s">
        <v>42</v>
      </c>
    </row>
    <row r="1796" spans="8:8" x14ac:dyDescent="0.35">
      <c r="H1796" s="36" t="s">
        <v>42</v>
      </c>
    </row>
    <row r="1797" spans="8:8" x14ac:dyDescent="0.35">
      <c r="H1797" s="36" t="s">
        <v>42</v>
      </c>
    </row>
    <row r="1798" spans="8:8" x14ac:dyDescent="0.35">
      <c r="H1798" s="36" t="s">
        <v>42</v>
      </c>
    </row>
    <row r="1799" spans="8:8" x14ac:dyDescent="0.35">
      <c r="H1799" s="36" t="s">
        <v>42</v>
      </c>
    </row>
    <row r="1800" spans="8:8" x14ac:dyDescent="0.35">
      <c r="H1800" s="36" t="s">
        <v>42</v>
      </c>
    </row>
    <row r="1801" spans="8:8" x14ac:dyDescent="0.35">
      <c r="H1801" s="36" t="s">
        <v>42</v>
      </c>
    </row>
    <row r="1802" spans="8:8" x14ac:dyDescent="0.35">
      <c r="H1802" s="36" t="s">
        <v>42</v>
      </c>
    </row>
    <row r="1803" spans="8:8" x14ac:dyDescent="0.35">
      <c r="H1803" s="36" t="s">
        <v>42</v>
      </c>
    </row>
    <row r="1804" spans="8:8" x14ac:dyDescent="0.35">
      <c r="H1804" s="36" t="s">
        <v>42</v>
      </c>
    </row>
    <row r="1805" spans="8:8" x14ac:dyDescent="0.35">
      <c r="H1805" s="36" t="s">
        <v>42</v>
      </c>
    </row>
    <row r="1806" spans="8:8" x14ac:dyDescent="0.35">
      <c r="H1806" s="36" t="s">
        <v>42</v>
      </c>
    </row>
    <row r="1807" spans="8:8" x14ac:dyDescent="0.35">
      <c r="H1807" s="36" t="s">
        <v>42</v>
      </c>
    </row>
    <row r="1808" spans="8:8" x14ac:dyDescent="0.35">
      <c r="H1808" s="36" t="s">
        <v>42</v>
      </c>
    </row>
    <row r="1809" spans="8:8" x14ac:dyDescent="0.35">
      <c r="H1809" s="36" t="s">
        <v>42</v>
      </c>
    </row>
    <row r="1810" spans="8:8" x14ac:dyDescent="0.35">
      <c r="H1810" s="36" t="s">
        <v>42</v>
      </c>
    </row>
    <row r="1811" spans="8:8" x14ac:dyDescent="0.35">
      <c r="H1811" s="36" t="s">
        <v>42</v>
      </c>
    </row>
    <row r="1812" spans="8:8" x14ac:dyDescent="0.35">
      <c r="H1812" s="36" t="s">
        <v>42</v>
      </c>
    </row>
    <row r="1813" spans="8:8" x14ac:dyDescent="0.35">
      <c r="H1813" s="36" t="s">
        <v>42</v>
      </c>
    </row>
    <row r="1814" spans="8:8" x14ac:dyDescent="0.35">
      <c r="H1814" s="36" t="s">
        <v>42</v>
      </c>
    </row>
    <row r="1815" spans="8:8" x14ac:dyDescent="0.35">
      <c r="H1815" s="36" t="s">
        <v>42</v>
      </c>
    </row>
    <row r="1816" spans="8:8" x14ac:dyDescent="0.35">
      <c r="H1816" s="36" t="s">
        <v>42</v>
      </c>
    </row>
    <row r="1817" spans="8:8" x14ac:dyDescent="0.35">
      <c r="H1817" s="36" t="s">
        <v>42</v>
      </c>
    </row>
    <row r="1818" spans="8:8" x14ac:dyDescent="0.35">
      <c r="H1818" s="36" t="s">
        <v>42</v>
      </c>
    </row>
    <row r="1819" spans="8:8" x14ac:dyDescent="0.35">
      <c r="H1819" s="36" t="s">
        <v>42</v>
      </c>
    </row>
    <row r="1820" spans="8:8" x14ac:dyDescent="0.35">
      <c r="H1820" s="36" t="s">
        <v>42</v>
      </c>
    </row>
    <row r="1821" spans="8:8" x14ac:dyDescent="0.35">
      <c r="H1821" s="36" t="s">
        <v>42</v>
      </c>
    </row>
    <row r="1822" spans="8:8" x14ac:dyDescent="0.35">
      <c r="H1822" s="36" t="s">
        <v>42</v>
      </c>
    </row>
    <row r="1823" spans="8:8" x14ac:dyDescent="0.35">
      <c r="H1823" s="36" t="s">
        <v>42</v>
      </c>
    </row>
    <row r="1824" spans="8:8" x14ac:dyDescent="0.35">
      <c r="H1824" s="36" t="s">
        <v>42</v>
      </c>
    </row>
    <row r="1825" spans="8:8" x14ac:dyDescent="0.35">
      <c r="H1825" s="36" t="s">
        <v>42</v>
      </c>
    </row>
    <row r="1826" spans="8:8" x14ac:dyDescent="0.35">
      <c r="H1826" s="36" t="s">
        <v>42</v>
      </c>
    </row>
    <row r="1827" spans="8:8" x14ac:dyDescent="0.35">
      <c r="H1827" s="36" t="s">
        <v>42</v>
      </c>
    </row>
    <row r="1828" spans="8:8" x14ac:dyDescent="0.35">
      <c r="H1828" s="36" t="s">
        <v>42</v>
      </c>
    </row>
    <row r="1829" spans="8:8" x14ac:dyDescent="0.35">
      <c r="H1829" s="36" t="s">
        <v>42</v>
      </c>
    </row>
    <row r="1830" spans="8:8" x14ac:dyDescent="0.35">
      <c r="H1830" s="36" t="s">
        <v>42</v>
      </c>
    </row>
    <row r="1831" spans="8:8" x14ac:dyDescent="0.35">
      <c r="H1831" s="36" t="s">
        <v>42</v>
      </c>
    </row>
    <row r="1832" spans="8:8" x14ac:dyDescent="0.35">
      <c r="H1832" s="36" t="s">
        <v>42</v>
      </c>
    </row>
    <row r="1833" spans="8:8" x14ac:dyDescent="0.35">
      <c r="H1833" s="36" t="s">
        <v>42</v>
      </c>
    </row>
    <row r="1834" spans="8:8" x14ac:dyDescent="0.35">
      <c r="H1834" s="36" t="s">
        <v>42</v>
      </c>
    </row>
    <row r="1835" spans="8:8" x14ac:dyDescent="0.35">
      <c r="H1835" s="36" t="s">
        <v>42</v>
      </c>
    </row>
    <row r="1836" spans="8:8" x14ac:dyDescent="0.35">
      <c r="H1836" s="36" t="s">
        <v>42</v>
      </c>
    </row>
    <row r="1837" spans="8:8" x14ac:dyDescent="0.35">
      <c r="H1837" s="36" t="s">
        <v>42</v>
      </c>
    </row>
    <row r="1838" spans="8:8" x14ac:dyDescent="0.35">
      <c r="H1838" s="36" t="s">
        <v>42</v>
      </c>
    </row>
    <row r="1839" spans="8:8" x14ac:dyDescent="0.35">
      <c r="H1839" s="36" t="s">
        <v>42</v>
      </c>
    </row>
    <row r="1840" spans="8:8" x14ac:dyDescent="0.35">
      <c r="H1840" s="36" t="s">
        <v>42</v>
      </c>
    </row>
    <row r="1841" spans="8:8" x14ac:dyDescent="0.35">
      <c r="H1841" s="36" t="s">
        <v>42</v>
      </c>
    </row>
    <row r="1842" spans="8:8" x14ac:dyDescent="0.35">
      <c r="H1842" s="36" t="s">
        <v>42</v>
      </c>
    </row>
    <row r="1843" spans="8:8" x14ac:dyDescent="0.35">
      <c r="H1843" s="36" t="s">
        <v>42</v>
      </c>
    </row>
    <row r="1844" spans="8:8" x14ac:dyDescent="0.35">
      <c r="H1844" s="36" t="s">
        <v>42</v>
      </c>
    </row>
    <row r="1845" spans="8:8" x14ac:dyDescent="0.35">
      <c r="H1845" s="36" t="s">
        <v>42</v>
      </c>
    </row>
    <row r="1846" spans="8:8" x14ac:dyDescent="0.35">
      <c r="H1846" s="36" t="s">
        <v>42</v>
      </c>
    </row>
    <row r="1847" spans="8:8" x14ac:dyDescent="0.35">
      <c r="H1847" s="36" t="s">
        <v>42</v>
      </c>
    </row>
    <row r="1848" spans="8:8" x14ac:dyDescent="0.35">
      <c r="H1848" s="36" t="s">
        <v>42</v>
      </c>
    </row>
    <row r="1849" spans="8:8" x14ac:dyDescent="0.35">
      <c r="H1849" s="36" t="s">
        <v>42</v>
      </c>
    </row>
    <row r="1850" spans="8:8" x14ac:dyDescent="0.35">
      <c r="H1850" s="36" t="s">
        <v>42</v>
      </c>
    </row>
    <row r="1851" spans="8:8" x14ac:dyDescent="0.35">
      <c r="H1851" s="36" t="s">
        <v>42</v>
      </c>
    </row>
    <row r="1852" spans="8:8" x14ac:dyDescent="0.35">
      <c r="H1852" s="36" t="s">
        <v>42</v>
      </c>
    </row>
    <row r="1853" spans="8:8" x14ac:dyDescent="0.35">
      <c r="H1853" s="36" t="s">
        <v>42</v>
      </c>
    </row>
    <row r="1854" spans="8:8" x14ac:dyDescent="0.35">
      <c r="H1854" s="36" t="s">
        <v>42</v>
      </c>
    </row>
    <row r="1855" spans="8:8" x14ac:dyDescent="0.35">
      <c r="H1855" s="36" t="s">
        <v>42</v>
      </c>
    </row>
    <row r="1856" spans="8:8" x14ac:dyDescent="0.35">
      <c r="H1856" s="36" t="s">
        <v>42</v>
      </c>
    </row>
    <row r="1857" spans="8:8" x14ac:dyDescent="0.35">
      <c r="H1857" s="36" t="s">
        <v>42</v>
      </c>
    </row>
    <row r="1858" spans="8:8" x14ac:dyDescent="0.35">
      <c r="H1858" s="36" t="s">
        <v>42</v>
      </c>
    </row>
    <row r="1859" spans="8:8" x14ac:dyDescent="0.35">
      <c r="H1859" s="36" t="s">
        <v>42</v>
      </c>
    </row>
    <row r="1860" spans="8:8" x14ac:dyDescent="0.35">
      <c r="H1860" s="36" t="s">
        <v>42</v>
      </c>
    </row>
    <row r="1861" spans="8:8" x14ac:dyDescent="0.35">
      <c r="H1861" s="36" t="s">
        <v>42</v>
      </c>
    </row>
    <row r="1862" spans="8:8" x14ac:dyDescent="0.35">
      <c r="H1862" s="36" t="s">
        <v>42</v>
      </c>
    </row>
    <row r="1863" spans="8:8" x14ac:dyDescent="0.35">
      <c r="H1863" s="36" t="s">
        <v>42</v>
      </c>
    </row>
    <row r="1864" spans="8:8" x14ac:dyDescent="0.35">
      <c r="H1864" s="36" t="s">
        <v>42</v>
      </c>
    </row>
    <row r="1865" spans="8:8" x14ac:dyDescent="0.35">
      <c r="H1865" s="36" t="s">
        <v>42</v>
      </c>
    </row>
    <row r="1866" spans="8:8" x14ac:dyDescent="0.35">
      <c r="H1866" s="36" t="s">
        <v>42</v>
      </c>
    </row>
    <row r="1867" spans="8:8" x14ac:dyDescent="0.35">
      <c r="H1867" s="36" t="s">
        <v>42</v>
      </c>
    </row>
    <row r="1868" spans="8:8" x14ac:dyDescent="0.35">
      <c r="H1868" s="36" t="s">
        <v>42</v>
      </c>
    </row>
    <row r="1869" spans="8:8" x14ac:dyDescent="0.35">
      <c r="H1869" s="36" t="s">
        <v>42</v>
      </c>
    </row>
    <row r="1870" spans="8:8" x14ac:dyDescent="0.35">
      <c r="H1870" s="36" t="s">
        <v>42</v>
      </c>
    </row>
    <row r="1871" spans="8:8" x14ac:dyDescent="0.35">
      <c r="H1871" s="36" t="s">
        <v>42</v>
      </c>
    </row>
    <row r="1872" spans="8:8" x14ac:dyDescent="0.35">
      <c r="H1872" s="36" t="s">
        <v>42</v>
      </c>
    </row>
    <row r="1873" spans="8:8" x14ac:dyDescent="0.35">
      <c r="H1873" s="36" t="s">
        <v>42</v>
      </c>
    </row>
    <row r="1874" spans="8:8" x14ac:dyDescent="0.35">
      <c r="H1874" s="36" t="s">
        <v>42</v>
      </c>
    </row>
    <row r="1875" spans="8:8" x14ac:dyDescent="0.35">
      <c r="H1875" s="36" t="s">
        <v>42</v>
      </c>
    </row>
    <row r="1876" spans="8:8" x14ac:dyDescent="0.35">
      <c r="H1876" s="36" t="s">
        <v>42</v>
      </c>
    </row>
    <row r="1877" spans="8:8" x14ac:dyDescent="0.35">
      <c r="H1877" s="36" t="s">
        <v>42</v>
      </c>
    </row>
    <row r="1878" spans="8:8" x14ac:dyDescent="0.35">
      <c r="H1878" s="36" t="s">
        <v>42</v>
      </c>
    </row>
    <row r="1879" spans="8:8" x14ac:dyDescent="0.35">
      <c r="H1879" s="36" t="s">
        <v>42</v>
      </c>
    </row>
    <row r="1880" spans="8:8" x14ac:dyDescent="0.35">
      <c r="H1880" s="36" t="s">
        <v>42</v>
      </c>
    </row>
    <row r="1881" spans="8:8" x14ac:dyDescent="0.35">
      <c r="H1881" s="36" t="s">
        <v>42</v>
      </c>
    </row>
    <row r="1882" spans="8:8" x14ac:dyDescent="0.35">
      <c r="H1882" s="36" t="s">
        <v>42</v>
      </c>
    </row>
    <row r="1883" spans="8:8" x14ac:dyDescent="0.35">
      <c r="H1883" s="36" t="s">
        <v>42</v>
      </c>
    </row>
    <row r="1884" spans="8:8" x14ac:dyDescent="0.35">
      <c r="H1884" s="36" t="s">
        <v>42</v>
      </c>
    </row>
    <row r="1885" spans="8:8" x14ac:dyDescent="0.35">
      <c r="H1885" s="36" t="s">
        <v>42</v>
      </c>
    </row>
    <row r="1886" spans="8:8" x14ac:dyDescent="0.35">
      <c r="H1886" s="36" t="s">
        <v>42</v>
      </c>
    </row>
    <row r="1887" spans="8:8" x14ac:dyDescent="0.35">
      <c r="H1887" s="36" t="s">
        <v>42</v>
      </c>
    </row>
    <row r="1888" spans="8:8" x14ac:dyDescent="0.35">
      <c r="H1888" s="36" t="s">
        <v>42</v>
      </c>
    </row>
    <row r="1889" spans="8:8" x14ac:dyDescent="0.35">
      <c r="H1889" s="36" t="s">
        <v>42</v>
      </c>
    </row>
    <row r="1890" spans="8:8" x14ac:dyDescent="0.35">
      <c r="H1890" s="36" t="s">
        <v>42</v>
      </c>
    </row>
    <row r="1891" spans="8:8" x14ac:dyDescent="0.35">
      <c r="H1891" s="36" t="s">
        <v>42</v>
      </c>
    </row>
    <row r="1892" spans="8:8" x14ac:dyDescent="0.35">
      <c r="H1892" s="36" t="s">
        <v>42</v>
      </c>
    </row>
    <row r="1893" spans="8:8" x14ac:dyDescent="0.35">
      <c r="H1893" s="36" t="s">
        <v>42</v>
      </c>
    </row>
    <row r="1894" spans="8:8" x14ac:dyDescent="0.35">
      <c r="H1894" s="36" t="s">
        <v>42</v>
      </c>
    </row>
    <row r="1895" spans="8:8" x14ac:dyDescent="0.35">
      <c r="H1895" s="36" t="s">
        <v>42</v>
      </c>
    </row>
    <row r="1896" spans="8:8" x14ac:dyDescent="0.35">
      <c r="H1896" s="36" t="s">
        <v>42</v>
      </c>
    </row>
    <row r="1897" spans="8:8" x14ac:dyDescent="0.35">
      <c r="H1897" s="36" t="s">
        <v>42</v>
      </c>
    </row>
    <row r="1898" spans="8:8" x14ac:dyDescent="0.35">
      <c r="H1898" s="36" t="s">
        <v>42</v>
      </c>
    </row>
    <row r="1899" spans="8:8" x14ac:dyDescent="0.35">
      <c r="H1899" s="36" t="s">
        <v>42</v>
      </c>
    </row>
    <row r="1900" spans="8:8" x14ac:dyDescent="0.35">
      <c r="H1900" s="36" t="s">
        <v>42</v>
      </c>
    </row>
    <row r="1901" spans="8:8" x14ac:dyDescent="0.35">
      <c r="H1901" s="36" t="s">
        <v>42</v>
      </c>
    </row>
    <row r="1902" spans="8:8" x14ac:dyDescent="0.35">
      <c r="H1902" s="36" t="s">
        <v>42</v>
      </c>
    </row>
    <row r="1903" spans="8:8" x14ac:dyDescent="0.35">
      <c r="H1903" s="36" t="s">
        <v>42</v>
      </c>
    </row>
    <row r="1904" spans="8:8" x14ac:dyDescent="0.35">
      <c r="H1904" s="36" t="s">
        <v>42</v>
      </c>
    </row>
    <row r="1905" spans="8:8" x14ac:dyDescent="0.35">
      <c r="H1905" s="36" t="s">
        <v>42</v>
      </c>
    </row>
    <row r="1906" spans="8:8" x14ac:dyDescent="0.35">
      <c r="H1906" s="36" t="s">
        <v>42</v>
      </c>
    </row>
    <row r="1907" spans="8:8" x14ac:dyDescent="0.35">
      <c r="H1907" s="36" t="s">
        <v>42</v>
      </c>
    </row>
    <row r="1908" spans="8:8" x14ac:dyDescent="0.35">
      <c r="H1908" s="36" t="s">
        <v>42</v>
      </c>
    </row>
    <row r="1909" spans="8:8" x14ac:dyDescent="0.35">
      <c r="H1909" s="36" t="s">
        <v>42</v>
      </c>
    </row>
    <row r="1910" spans="8:8" x14ac:dyDescent="0.35">
      <c r="H1910" s="36" t="s">
        <v>42</v>
      </c>
    </row>
    <row r="1911" spans="8:8" x14ac:dyDescent="0.35">
      <c r="H1911" s="36" t="s">
        <v>42</v>
      </c>
    </row>
    <row r="1912" spans="8:8" x14ac:dyDescent="0.35">
      <c r="H1912" s="36" t="s">
        <v>42</v>
      </c>
    </row>
    <row r="1913" spans="8:8" x14ac:dyDescent="0.35">
      <c r="H1913" s="36" t="s">
        <v>42</v>
      </c>
    </row>
    <row r="1914" spans="8:8" x14ac:dyDescent="0.35">
      <c r="H1914" s="36" t="s">
        <v>42</v>
      </c>
    </row>
    <row r="1915" spans="8:8" x14ac:dyDescent="0.35">
      <c r="H1915" s="36" t="s">
        <v>42</v>
      </c>
    </row>
    <row r="1916" spans="8:8" x14ac:dyDescent="0.35">
      <c r="H1916" s="36" t="s">
        <v>42</v>
      </c>
    </row>
    <row r="1917" spans="8:8" x14ac:dyDescent="0.35">
      <c r="H1917" s="36" t="s">
        <v>42</v>
      </c>
    </row>
    <row r="1918" spans="8:8" x14ac:dyDescent="0.35">
      <c r="H1918" s="36" t="s">
        <v>42</v>
      </c>
    </row>
    <row r="1919" spans="8:8" x14ac:dyDescent="0.35">
      <c r="H1919" s="36" t="s">
        <v>42</v>
      </c>
    </row>
    <row r="1920" spans="8:8" x14ac:dyDescent="0.35">
      <c r="H1920" s="36" t="s">
        <v>42</v>
      </c>
    </row>
    <row r="1921" spans="8:8" x14ac:dyDescent="0.35">
      <c r="H1921" s="36" t="s">
        <v>42</v>
      </c>
    </row>
    <row r="1922" spans="8:8" x14ac:dyDescent="0.35">
      <c r="H1922" s="36" t="s">
        <v>42</v>
      </c>
    </row>
    <row r="1923" spans="8:8" x14ac:dyDescent="0.35">
      <c r="H1923" s="36" t="s">
        <v>42</v>
      </c>
    </row>
    <row r="1924" spans="8:8" x14ac:dyDescent="0.35">
      <c r="H1924" s="36" t="s">
        <v>42</v>
      </c>
    </row>
    <row r="1925" spans="8:8" x14ac:dyDescent="0.35">
      <c r="H1925" s="36" t="s">
        <v>42</v>
      </c>
    </row>
    <row r="1926" spans="8:8" x14ac:dyDescent="0.35">
      <c r="H1926" s="36" t="s">
        <v>42</v>
      </c>
    </row>
    <row r="1927" spans="8:8" x14ac:dyDescent="0.35">
      <c r="H1927" s="36" t="s">
        <v>42</v>
      </c>
    </row>
    <row r="1928" spans="8:8" x14ac:dyDescent="0.35">
      <c r="H1928" s="36" t="s">
        <v>42</v>
      </c>
    </row>
    <row r="1929" spans="8:8" x14ac:dyDescent="0.35">
      <c r="H1929" s="36" t="s">
        <v>42</v>
      </c>
    </row>
    <row r="1930" spans="8:8" x14ac:dyDescent="0.35">
      <c r="H1930" s="36" t="s">
        <v>42</v>
      </c>
    </row>
    <row r="1931" spans="8:8" x14ac:dyDescent="0.35">
      <c r="H1931" s="36" t="s">
        <v>42</v>
      </c>
    </row>
    <row r="1932" spans="8:8" x14ac:dyDescent="0.35">
      <c r="H1932" s="36" t="s">
        <v>42</v>
      </c>
    </row>
    <row r="1933" spans="8:8" x14ac:dyDescent="0.35">
      <c r="H1933" s="36" t="s">
        <v>42</v>
      </c>
    </row>
    <row r="1934" spans="8:8" x14ac:dyDescent="0.35">
      <c r="H1934" s="36" t="s">
        <v>42</v>
      </c>
    </row>
    <row r="1935" spans="8:8" x14ac:dyDescent="0.35">
      <c r="H1935" s="36" t="s">
        <v>42</v>
      </c>
    </row>
    <row r="1936" spans="8:8" x14ac:dyDescent="0.35">
      <c r="H1936" s="36" t="s">
        <v>42</v>
      </c>
    </row>
    <row r="1937" spans="8:8" x14ac:dyDescent="0.35">
      <c r="H1937" s="36" t="s">
        <v>42</v>
      </c>
    </row>
    <row r="1938" spans="8:8" x14ac:dyDescent="0.35">
      <c r="H1938" s="36" t="s">
        <v>42</v>
      </c>
    </row>
    <row r="1939" spans="8:8" x14ac:dyDescent="0.35">
      <c r="H1939" s="36" t="s">
        <v>42</v>
      </c>
    </row>
    <row r="1940" spans="8:8" x14ac:dyDescent="0.35">
      <c r="H1940" s="36" t="s">
        <v>42</v>
      </c>
    </row>
    <row r="1941" spans="8:8" x14ac:dyDescent="0.35">
      <c r="H1941" s="36" t="s">
        <v>42</v>
      </c>
    </row>
    <row r="1942" spans="8:8" x14ac:dyDescent="0.35">
      <c r="H1942" s="36" t="s">
        <v>42</v>
      </c>
    </row>
    <row r="1943" spans="8:8" x14ac:dyDescent="0.35">
      <c r="H1943" s="36" t="s">
        <v>42</v>
      </c>
    </row>
    <row r="1944" spans="8:8" x14ac:dyDescent="0.35">
      <c r="H1944" s="36" t="s">
        <v>42</v>
      </c>
    </row>
    <row r="1945" spans="8:8" x14ac:dyDescent="0.35">
      <c r="H1945" s="36" t="s">
        <v>42</v>
      </c>
    </row>
    <row r="1946" spans="8:8" x14ac:dyDescent="0.35">
      <c r="H1946" s="36" t="s">
        <v>42</v>
      </c>
    </row>
    <row r="1947" spans="8:8" x14ac:dyDescent="0.35">
      <c r="H1947" s="36" t="s">
        <v>42</v>
      </c>
    </row>
    <row r="1948" spans="8:8" x14ac:dyDescent="0.35">
      <c r="H1948" s="36" t="s">
        <v>42</v>
      </c>
    </row>
    <row r="1949" spans="8:8" x14ac:dyDescent="0.35">
      <c r="H1949" s="36" t="s">
        <v>42</v>
      </c>
    </row>
    <row r="1950" spans="8:8" x14ac:dyDescent="0.35">
      <c r="H1950" s="36" t="s">
        <v>42</v>
      </c>
    </row>
    <row r="1951" spans="8:8" x14ac:dyDescent="0.35">
      <c r="H1951" s="36" t="s">
        <v>42</v>
      </c>
    </row>
    <row r="1952" spans="8:8" x14ac:dyDescent="0.35">
      <c r="H1952" s="36" t="s">
        <v>42</v>
      </c>
    </row>
    <row r="1953" spans="8:8" x14ac:dyDescent="0.35">
      <c r="H1953" s="36" t="s">
        <v>42</v>
      </c>
    </row>
    <row r="1954" spans="8:8" x14ac:dyDescent="0.35">
      <c r="H1954" s="36" t="s">
        <v>42</v>
      </c>
    </row>
    <row r="1955" spans="8:8" x14ac:dyDescent="0.35">
      <c r="H1955" s="36" t="s">
        <v>42</v>
      </c>
    </row>
    <row r="1956" spans="8:8" x14ac:dyDescent="0.35">
      <c r="H1956" s="36" t="s">
        <v>42</v>
      </c>
    </row>
    <row r="1957" spans="8:8" x14ac:dyDescent="0.35">
      <c r="H1957" s="36" t="s">
        <v>42</v>
      </c>
    </row>
    <row r="1958" spans="8:8" x14ac:dyDescent="0.35">
      <c r="H1958" s="36" t="s">
        <v>42</v>
      </c>
    </row>
    <row r="1959" spans="8:8" x14ac:dyDescent="0.35">
      <c r="H1959" s="36" t="s">
        <v>42</v>
      </c>
    </row>
    <row r="1960" spans="8:8" x14ac:dyDescent="0.35">
      <c r="H1960" s="36" t="s">
        <v>42</v>
      </c>
    </row>
    <row r="1961" spans="8:8" x14ac:dyDescent="0.35">
      <c r="H1961" s="36" t="s">
        <v>42</v>
      </c>
    </row>
    <row r="1962" spans="8:8" x14ac:dyDescent="0.35">
      <c r="H1962" s="36" t="s">
        <v>42</v>
      </c>
    </row>
    <row r="1963" spans="8:8" x14ac:dyDescent="0.35">
      <c r="H1963" s="36" t="s">
        <v>42</v>
      </c>
    </row>
    <row r="1964" spans="8:8" x14ac:dyDescent="0.35">
      <c r="H1964" s="36" t="s">
        <v>42</v>
      </c>
    </row>
    <row r="1965" spans="8:8" x14ac:dyDescent="0.35">
      <c r="H1965" s="36" t="s">
        <v>42</v>
      </c>
    </row>
    <row r="1966" spans="8:8" x14ac:dyDescent="0.35">
      <c r="H1966" s="36" t="s">
        <v>42</v>
      </c>
    </row>
    <row r="1967" spans="8:8" x14ac:dyDescent="0.35">
      <c r="H1967" s="36" t="s">
        <v>42</v>
      </c>
    </row>
    <row r="1968" spans="8:8" x14ac:dyDescent="0.35">
      <c r="H1968" s="36" t="s">
        <v>42</v>
      </c>
    </row>
    <row r="1969" spans="8:8" x14ac:dyDescent="0.35">
      <c r="H1969" s="36" t="s">
        <v>42</v>
      </c>
    </row>
    <row r="1970" spans="8:8" x14ac:dyDescent="0.35">
      <c r="H1970" s="36" t="s">
        <v>42</v>
      </c>
    </row>
    <row r="1971" spans="8:8" x14ac:dyDescent="0.35">
      <c r="H1971" s="36" t="s">
        <v>42</v>
      </c>
    </row>
    <row r="1972" spans="8:8" x14ac:dyDescent="0.35">
      <c r="H1972" s="36" t="s">
        <v>42</v>
      </c>
    </row>
    <row r="1973" spans="8:8" x14ac:dyDescent="0.35">
      <c r="H1973" s="36" t="s">
        <v>42</v>
      </c>
    </row>
    <row r="1974" spans="8:8" x14ac:dyDescent="0.35">
      <c r="H1974" s="36" t="s">
        <v>42</v>
      </c>
    </row>
    <row r="1975" spans="8:8" x14ac:dyDescent="0.35">
      <c r="H1975" s="36" t="s">
        <v>42</v>
      </c>
    </row>
    <row r="1976" spans="8:8" x14ac:dyDescent="0.35">
      <c r="H1976" s="36" t="s">
        <v>42</v>
      </c>
    </row>
    <row r="1977" spans="8:8" x14ac:dyDescent="0.35">
      <c r="H1977" s="36" t="s">
        <v>42</v>
      </c>
    </row>
    <row r="1978" spans="8:8" x14ac:dyDescent="0.35">
      <c r="H1978" s="36" t="s">
        <v>42</v>
      </c>
    </row>
    <row r="1979" spans="8:8" x14ac:dyDescent="0.35">
      <c r="H1979" s="36" t="s">
        <v>42</v>
      </c>
    </row>
    <row r="1980" spans="8:8" x14ac:dyDescent="0.35">
      <c r="H1980" s="36" t="s">
        <v>42</v>
      </c>
    </row>
    <row r="1981" spans="8:8" x14ac:dyDescent="0.35">
      <c r="H1981" s="36" t="s">
        <v>42</v>
      </c>
    </row>
    <row r="1982" spans="8:8" x14ac:dyDescent="0.35">
      <c r="H1982" s="36" t="s">
        <v>42</v>
      </c>
    </row>
    <row r="1983" spans="8:8" x14ac:dyDescent="0.35">
      <c r="H1983" s="36" t="s">
        <v>42</v>
      </c>
    </row>
    <row r="1984" spans="8:8" x14ac:dyDescent="0.35">
      <c r="H1984" s="36" t="s">
        <v>42</v>
      </c>
    </row>
    <row r="1985" spans="8:8" x14ac:dyDescent="0.35">
      <c r="H1985" s="36" t="s">
        <v>42</v>
      </c>
    </row>
    <row r="1986" spans="8:8" x14ac:dyDescent="0.35">
      <c r="H1986" s="36" t="s">
        <v>42</v>
      </c>
    </row>
    <row r="1987" spans="8:8" x14ac:dyDescent="0.35">
      <c r="H1987" s="36" t="s">
        <v>42</v>
      </c>
    </row>
    <row r="1988" spans="8:8" x14ac:dyDescent="0.35">
      <c r="H1988" s="36" t="s">
        <v>42</v>
      </c>
    </row>
    <row r="1989" spans="8:8" x14ac:dyDescent="0.35">
      <c r="H1989" s="36" t="s">
        <v>42</v>
      </c>
    </row>
    <row r="1990" spans="8:8" x14ac:dyDescent="0.35">
      <c r="H1990" s="36" t="s">
        <v>42</v>
      </c>
    </row>
    <row r="1991" spans="8:8" x14ac:dyDescent="0.35">
      <c r="H1991" s="36" t="s">
        <v>42</v>
      </c>
    </row>
    <row r="1992" spans="8:8" x14ac:dyDescent="0.35">
      <c r="H1992" s="36" t="s">
        <v>42</v>
      </c>
    </row>
    <row r="1993" spans="8:8" x14ac:dyDescent="0.35">
      <c r="H1993" s="36" t="s">
        <v>42</v>
      </c>
    </row>
    <row r="1994" spans="8:8" x14ac:dyDescent="0.35">
      <c r="H1994" s="36" t="s">
        <v>42</v>
      </c>
    </row>
    <row r="1995" spans="8:8" x14ac:dyDescent="0.35">
      <c r="H1995" s="36" t="s">
        <v>42</v>
      </c>
    </row>
    <row r="1996" spans="8:8" x14ac:dyDescent="0.35">
      <c r="H1996" s="36" t="s">
        <v>42</v>
      </c>
    </row>
    <row r="1997" spans="8:8" x14ac:dyDescent="0.35">
      <c r="H1997" s="36" t="s">
        <v>42</v>
      </c>
    </row>
    <row r="1998" spans="8:8" x14ac:dyDescent="0.35">
      <c r="H1998" s="36" t="s">
        <v>42</v>
      </c>
    </row>
    <row r="1999" spans="8:8" x14ac:dyDescent="0.35">
      <c r="H1999" s="36" t="s">
        <v>42</v>
      </c>
    </row>
    <row r="2000" spans="8:8" x14ac:dyDescent="0.35">
      <c r="H2000" s="36" t="s">
        <v>42</v>
      </c>
    </row>
    <row r="2001" spans="8:8" x14ac:dyDescent="0.35">
      <c r="H2001" s="36" t="s">
        <v>42</v>
      </c>
    </row>
    <row r="2002" spans="8:8" x14ac:dyDescent="0.35">
      <c r="H2002" s="36" t="s">
        <v>42</v>
      </c>
    </row>
    <row r="2003" spans="8:8" x14ac:dyDescent="0.35">
      <c r="H2003" s="36" t="s">
        <v>42</v>
      </c>
    </row>
    <row r="2004" spans="8:8" x14ac:dyDescent="0.35">
      <c r="H2004" s="36" t="s">
        <v>42</v>
      </c>
    </row>
    <row r="2005" spans="8:8" x14ac:dyDescent="0.35">
      <c r="H2005" s="36" t="s">
        <v>42</v>
      </c>
    </row>
    <row r="2006" spans="8:8" x14ac:dyDescent="0.35">
      <c r="H2006" s="36" t="s">
        <v>42</v>
      </c>
    </row>
    <row r="2007" spans="8:8" x14ac:dyDescent="0.35">
      <c r="H2007" s="36" t="s">
        <v>42</v>
      </c>
    </row>
    <row r="2008" spans="8:8" x14ac:dyDescent="0.35">
      <c r="H2008" s="36" t="s">
        <v>42</v>
      </c>
    </row>
    <row r="2009" spans="8:8" x14ac:dyDescent="0.35">
      <c r="H2009" s="36" t="s">
        <v>42</v>
      </c>
    </row>
    <row r="2010" spans="8:8" x14ac:dyDescent="0.35">
      <c r="H2010" s="36" t="s">
        <v>42</v>
      </c>
    </row>
    <row r="2011" spans="8:8" x14ac:dyDescent="0.35">
      <c r="H2011" s="36" t="s">
        <v>42</v>
      </c>
    </row>
    <row r="2012" spans="8:8" x14ac:dyDescent="0.35">
      <c r="H2012" s="36" t="s">
        <v>42</v>
      </c>
    </row>
    <row r="2013" spans="8:8" x14ac:dyDescent="0.35">
      <c r="H2013" s="36" t="s">
        <v>42</v>
      </c>
    </row>
    <row r="2014" spans="8:8" x14ac:dyDescent="0.35">
      <c r="H2014" s="36" t="s">
        <v>42</v>
      </c>
    </row>
    <row r="2015" spans="8:8" x14ac:dyDescent="0.35">
      <c r="H2015" s="36" t="s">
        <v>42</v>
      </c>
    </row>
    <row r="2016" spans="8:8" x14ac:dyDescent="0.35">
      <c r="H2016" s="36" t="s">
        <v>42</v>
      </c>
    </row>
    <row r="2017" spans="8:8" x14ac:dyDescent="0.35">
      <c r="H2017" s="36" t="s">
        <v>42</v>
      </c>
    </row>
    <row r="2018" spans="8:8" x14ac:dyDescent="0.35">
      <c r="H2018" s="36" t="s">
        <v>42</v>
      </c>
    </row>
    <row r="2019" spans="8:8" x14ac:dyDescent="0.35">
      <c r="H2019" s="36" t="s">
        <v>42</v>
      </c>
    </row>
    <row r="2020" spans="8:8" x14ac:dyDescent="0.35">
      <c r="H2020" s="36" t="s">
        <v>42</v>
      </c>
    </row>
    <row r="2021" spans="8:8" x14ac:dyDescent="0.35">
      <c r="H2021" s="36" t="s">
        <v>42</v>
      </c>
    </row>
    <row r="2022" spans="8:8" x14ac:dyDescent="0.35">
      <c r="H2022" s="36" t="s">
        <v>42</v>
      </c>
    </row>
    <row r="2023" spans="8:8" x14ac:dyDescent="0.35">
      <c r="H2023" s="36" t="s">
        <v>42</v>
      </c>
    </row>
    <row r="2024" spans="8:8" x14ac:dyDescent="0.35">
      <c r="H2024" s="36" t="s">
        <v>42</v>
      </c>
    </row>
    <row r="2025" spans="8:8" x14ac:dyDescent="0.35">
      <c r="H2025" s="36" t="s">
        <v>42</v>
      </c>
    </row>
    <row r="2026" spans="8:8" x14ac:dyDescent="0.35">
      <c r="H2026" s="36" t="s">
        <v>42</v>
      </c>
    </row>
    <row r="2027" spans="8:8" x14ac:dyDescent="0.35">
      <c r="H2027" s="36" t="s">
        <v>42</v>
      </c>
    </row>
    <row r="2028" spans="8:8" x14ac:dyDescent="0.35">
      <c r="H2028" s="36" t="s">
        <v>42</v>
      </c>
    </row>
    <row r="2029" spans="8:8" x14ac:dyDescent="0.35">
      <c r="H2029" s="36" t="s">
        <v>42</v>
      </c>
    </row>
    <row r="2030" spans="8:8" x14ac:dyDescent="0.35">
      <c r="H2030" s="36" t="s">
        <v>42</v>
      </c>
    </row>
    <row r="2031" spans="8:8" x14ac:dyDescent="0.35">
      <c r="H2031" s="36" t="s">
        <v>42</v>
      </c>
    </row>
    <row r="2032" spans="8:8" x14ac:dyDescent="0.35">
      <c r="H2032" s="36" t="s">
        <v>42</v>
      </c>
    </row>
    <row r="2033" spans="8:8" x14ac:dyDescent="0.35">
      <c r="H2033" s="36" t="s">
        <v>42</v>
      </c>
    </row>
    <row r="2034" spans="8:8" x14ac:dyDescent="0.35">
      <c r="H2034" s="36" t="s">
        <v>42</v>
      </c>
    </row>
    <row r="2035" spans="8:8" x14ac:dyDescent="0.35">
      <c r="H2035" s="36" t="s">
        <v>42</v>
      </c>
    </row>
    <row r="2036" spans="8:8" x14ac:dyDescent="0.35">
      <c r="H2036" s="36" t="s">
        <v>42</v>
      </c>
    </row>
    <row r="2037" spans="8:8" x14ac:dyDescent="0.35">
      <c r="H2037" s="36" t="s">
        <v>42</v>
      </c>
    </row>
    <row r="2038" spans="8:8" x14ac:dyDescent="0.35">
      <c r="H2038" s="36" t="s">
        <v>42</v>
      </c>
    </row>
    <row r="2039" spans="8:8" x14ac:dyDescent="0.35">
      <c r="H2039" s="36" t="s">
        <v>42</v>
      </c>
    </row>
    <row r="2040" spans="8:8" x14ac:dyDescent="0.35">
      <c r="H2040" s="36" t="s">
        <v>42</v>
      </c>
    </row>
    <row r="2041" spans="8:8" x14ac:dyDescent="0.35">
      <c r="H2041" s="36" t="s">
        <v>42</v>
      </c>
    </row>
    <row r="2042" spans="8:8" x14ac:dyDescent="0.35">
      <c r="H2042" s="36" t="s">
        <v>42</v>
      </c>
    </row>
    <row r="2043" spans="8:8" x14ac:dyDescent="0.35">
      <c r="H2043" s="36" t="s">
        <v>42</v>
      </c>
    </row>
    <row r="2044" spans="8:8" x14ac:dyDescent="0.35">
      <c r="H2044" s="36" t="s">
        <v>42</v>
      </c>
    </row>
    <row r="2045" spans="8:8" x14ac:dyDescent="0.35">
      <c r="H2045" s="36" t="s">
        <v>42</v>
      </c>
    </row>
    <row r="2046" spans="8:8" x14ac:dyDescent="0.35">
      <c r="H2046" s="36" t="s">
        <v>42</v>
      </c>
    </row>
    <row r="2047" spans="8:8" x14ac:dyDescent="0.35">
      <c r="H2047" s="36" t="s">
        <v>42</v>
      </c>
    </row>
    <row r="2048" spans="8:8" x14ac:dyDescent="0.35">
      <c r="H2048" s="36" t="s">
        <v>42</v>
      </c>
    </row>
    <row r="2049" spans="8:8" x14ac:dyDescent="0.35">
      <c r="H2049" s="36" t="s">
        <v>42</v>
      </c>
    </row>
    <row r="2050" spans="8:8" x14ac:dyDescent="0.35">
      <c r="H2050" s="36" t="s">
        <v>42</v>
      </c>
    </row>
    <row r="2051" spans="8:8" x14ac:dyDescent="0.35">
      <c r="H2051" s="36" t="s">
        <v>42</v>
      </c>
    </row>
    <row r="2052" spans="8:8" x14ac:dyDescent="0.35">
      <c r="H2052" s="36" t="s">
        <v>42</v>
      </c>
    </row>
    <row r="2053" spans="8:8" x14ac:dyDescent="0.35">
      <c r="H2053" s="36" t="s">
        <v>42</v>
      </c>
    </row>
    <row r="2054" spans="8:8" x14ac:dyDescent="0.35">
      <c r="H2054" s="36" t="s">
        <v>42</v>
      </c>
    </row>
    <row r="2055" spans="8:8" x14ac:dyDescent="0.35">
      <c r="H2055" s="36" t="s">
        <v>42</v>
      </c>
    </row>
    <row r="2056" spans="8:8" x14ac:dyDescent="0.35">
      <c r="H2056" s="36" t="s">
        <v>42</v>
      </c>
    </row>
    <row r="2057" spans="8:8" x14ac:dyDescent="0.35">
      <c r="H2057" s="36" t="s">
        <v>42</v>
      </c>
    </row>
    <row r="2058" spans="8:8" x14ac:dyDescent="0.35">
      <c r="H2058" s="36" t="s">
        <v>42</v>
      </c>
    </row>
    <row r="2059" spans="8:8" x14ac:dyDescent="0.35">
      <c r="H2059" s="36" t="s">
        <v>42</v>
      </c>
    </row>
    <row r="2060" spans="8:8" x14ac:dyDescent="0.35">
      <c r="H2060" s="36" t="s">
        <v>42</v>
      </c>
    </row>
    <row r="2061" spans="8:8" x14ac:dyDescent="0.35">
      <c r="H2061" s="36" t="s">
        <v>42</v>
      </c>
    </row>
    <row r="2062" spans="8:8" x14ac:dyDescent="0.35">
      <c r="H2062" s="36" t="s">
        <v>42</v>
      </c>
    </row>
    <row r="2063" spans="8:8" x14ac:dyDescent="0.35">
      <c r="H2063" s="36" t="s">
        <v>42</v>
      </c>
    </row>
    <row r="2064" spans="8:8" x14ac:dyDescent="0.35">
      <c r="H2064" s="36" t="s">
        <v>42</v>
      </c>
    </row>
    <row r="2065" spans="8:8" x14ac:dyDescent="0.35">
      <c r="H2065" s="36" t="s">
        <v>42</v>
      </c>
    </row>
    <row r="2066" spans="8:8" x14ac:dyDescent="0.35">
      <c r="H2066" s="36" t="s">
        <v>42</v>
      </c>
    </row>
    <row r="2067" spans="8:8" x14ac:dyDescent="0.35">
      <c r="H2067" s="36" t="s">
        <v>42</v>
      </c>
    </row>
    <row r="2068" spans="8:8" x14ac:dyDescent="0.35">
      <c r="H2068" s="36" t="s">
        <v>42</v>
      </c>
    </row>
    <row r="2069" spans="8:8" x14ac:dyDescent="0.35">
      <c r="H2069" s="36" t="s">
        <v>42</v>
      </c>
    </row>
    <row r="2070" spans="8:8" x14ac:dyDescent="0.35">
      <c r="H2070" s="36" t="s">
        <v>42</v>
      </c>
    </row>
    <row r="2071" spans="8:8" x14ac:dyDescent="0.35">
      <c r="H2071" s="36" t="s">
        <v>42</v>
      </c>
    </row>
    <row r="2072" spans="8:8" x14ac:dyDescent="0.35">
      <c r="H2072" s="36" t="s">
        <v>42</v>
      </c>
    </row>
    <row r="2073" spans="8:8" x14ac:dyDescent="0.35">
      <c r="H2073" s="36" t="s">
        <v>42</v>
      </c>
    </row>
    <row r="2074" spans="8:8" x14ac:dyDescent="0.35">
      <c r="H2074" s="36" t="s">
        <v>42</v>
      </c>
    </row>
    <row r="2075" spans="8:8" x14ac:dyDescent="0.35">
      <c r="H2075" s="36" t="s">
        <v>42</v>
      </c>
    </row>
    <row r="2076" spans="8:8" x14ac:dyDescent="0.35">
      <c r="H2076" s="36" t="s">
        <v>42</v>
      </c>
    </row>
    <row r="2077" spans="8:8" x14ac:dyDescent="0.35">
      <c r="H2077" s="36" t="s">
        <v>42</v>
      </c>
    </row>
    <row r="2078" spans="8:8" x14ac:dyDescent="0.35">
      <c r="H2078" s="36" t="s">
        <v>42</v>
      </c>
    </row>
    <row r="2079" spans="8:8" x14ac:dyDescent="0.35">
      <c r="H2079" s="36" t="s">
        <v>42</v>
      </c>
    </row>
    <row r="2080" spans="8:8" x14ac:dyDescent="0.35">
      <c r="H2080" s="36" t="s">
        <v>42</v>
      </c>
    </row>
    <row r="2081" spans="8:8" x14ac:dyDescent="0.35">
      <c r="H2081" s="36" t="s">
        <v>42</v>
      </c>
    </row>
    <row r="2082" spans="8:8" x14ac:dyDescent="0.35">
      <c r="H2082" s="36" t="s">
        <v>42</v>
      </c>
    </row>
    <row r="2083" spans="8:8" x14ac:dyDescent="0.35">
      <c r="H2083" s="36" t="s">
        <v>42</v>
      </c>
    </row>
    <row r="2084" spans="8:8" x14ac:dyDescent="0.35">
      <c r="H2084" s="36" t="s">
        <v>42</v>
      </c>
    </row>
    <row r="2085" spans="8:8" x14ac:dyDescent="0.35">
      <c r="H2085" s="36" t="s">
        <v>42</v>
      </c>
    </row>
    <row r="2086" spans="8:8" x14ac:dyDescent="0.35">
      <c r="H2086" s="36" t="s">
        <v>42</v>
      </c>
    </row>
    <row r="2087" spans="8:8" x14ac:dyDescent="0.35">
      <c r="H2087" s="36" t="s">
        <v>42</v>
      </c>
    </row>
    <row r="2088" spans="8:8" x14ac:dyDescent="0.35">
      <c r="H2088" s="36" t="s">
        <v>42</v>
      </c>
    </row>
    <row r="2089" spans="8:8" x14ac:dyDescent="0.35">
      <c r="H2089" s="36" t="s">
        <v>42</v>
      </c>
    </row>
    <row r="2090" spans="8:8" x14ac:dyDescent="0.35">
      <c r="H2090" s="36" t="s">
        <v>42</v>
      </c>
    </row>
    <row r="2091" spans="8:8" x14ac:dyDescent="0.35">
      <c r="H2091" s="36" t="s">
        <v>42</v>
      </c>
    </row>
    <row r="2092" spans="8:8" x14ac:dyDescent="0.35">
      <c r="H2092" s="36" t="s">
        <v>42</v>
      </c>
    </row>
    <row r="2093" spans="8:8" x14ac:dyDescent="0.35">
      <c r="H2093" s="36" t="s">
        <v>42</v>
      </c>
    </row>
    <row r="2094" spans="8:8" x14ac:dyDescent="0.35">
      <c r="H2094" s="36" t="s">
        <v>42</v>
      </c>
    </row>
    <row r="2095" spans="8:8" x14ac:dyDescent="0.35">
      <c r="H2095" s="36" t="s">
        <v>42</v>
      </c>
    </row>
    <row r="2096" spans="8:8" x14ac:dyDescent="0.35">
      <c r="H2096" s="36" t="s">
        <v>42</v>
      </c>
    </row>
    <row r="2097" spans="8:8" x14ac:dyDescent="0.35">
      <c r="H2097" s="36" t="s">
        <v>42</v>
      </c>
    </row>
    <row r="2098" spans="8:8" x14ac:dyDescent="0.35">
      <c r="H2098" s="36" t="s">
        <v>42</v>
      </c>
    </row>
    <row r="2099" spans="8:8" x14ac:dyDescent="0.35">
      <c r="H2099" s="36" t="s">
        <v>42</v>
      </c>
    </row>
    <row r="2100" spans="8:8" x14ac:dyDescent="0.35">
      <c r="H2100" s="36" t="s">
        <v>42</v>
      </c>
    </row>
    <row r="2101" spans="8:8" x14ac:dyDescent="0.35">
      <c r="H2101" s="36" t="s">
        <v>42</v>
      </c>
    </row>
    <row r="2102" spans="8:8" x14ac:dyDescent="0.35">
      <c r="H2102" s="36" t="s">
        <v>42</v>
      </c>
    </row>
    <row r="2103" spans="8:8" x14ac:dyDescent="0.35">
      <c r="H2103" s="36" t="s">
        <v>42</v>
      </c>
    </row>
    <row r="2104" spans="8:8" x14ac:dyDescent="0.35">
      <c r="H2104" s="36" t="s">
        <v>42</v>
      </c>
    </row>
    <row r="2105" spans="8:8" x14ac:dyDescent="0.35">
      <c r="H2105" s="36" t="s">
        <v>42</v>
      </c>
    </row>
    <row r="2106" spans="8:8" x14ac:dyDescent="0.35">
      <c r="H2106" s="36" t="s">
        <v>42</v>
      </c>
    </row>
    <row r="2107" spans="8:8" x14ac:dyDescent="0.35">
      <c r="H2107" s="36" t="s">
        <v>42</v>
      </c>
    </row>
    <row r="2108" spans="8:8" x14ac:dyDescent="0.35">
      <c r="H2108" s="36" t="s">
        <v>42</v>
      </c>
    </row>
    <row r="2109" spans="8:8" x14ac:dyDescent="0.35">
      <c r="H2109" s="36" t="s">
        <v>42</v>
      </c>
    </row>
    <row r="2110" spans="8:8" x14ac:dyDescent="0.35">
      <c r="H2110" s="36" t="s">
        <v>42</v>
      </c>
    </row>
    <row r="2111" spans="8:8" x14ac:dyDescent="0.35">
      <c r="H2111" s="36" t="s">
        <v>42</v>
      </c>
    </row>
    <row r="2112" spans="8:8" x14ac:dyDescent="0.35">
      <c r="H2112" s="36" t="s">
        <v>42</v>
      </c>
    </row>
    <row r="2113" spans="8:8" x14ac:dyDescent="0.35">
      <c r="H2113" s="36" t="s">
        <v>42</v>
      </c>
    </row>
    <row r="2114" spans="8:8" x14ac:dyDescent="0.35">
      <c r="H2114" s="36" t="s">
        <v>42</v>
      </c>
    </row>
    <row r="2115" spans="8:8" x14ac:dyDescent="0.35">
      <c r="H2115" s="36" t="s">
        <v>42</v>
      </c>
    </row>
    <row r="2116" spans="8:8" x14ac:dyDescent="0.35">
      <c r="H2116" s="36" t="s">
        <v>42</v>
      </c>
    </row>
    <row r="2117" spans="8:8" x14ac:dyDescent="0.35">
      <c r="H2117" s="36" t="s">
        <v>42</v>
      </c>
    </row>
    <row r="2118" spans="8:8" x14ac:dyDescent="0.35">
      <c r="H2118" s="36" t="s">
        <v>42</v>
      </c>
    </row>
    <row r="2119" spans="8:8" x14ac:dyDescent="0.35">
      <c r="H2119" s="36" t="s">
        <v>42</v>
      </c>
    </row>
    <row r="2120" spans="8:8" x14ac:dyDescent="0.35">
      <c r="H2120" s="36" t="s">
        <v>42</v>
      </c>
    </row>
    <row r="2121" spans="8:8" x14ac:dyDescent="0.35">
      <c r="H2121" s="36" t="s">
        <v>42</v>
      </c>
    </row>
    <row r="2122" spans="8:8" x14ac:dyDescent="0.35">
      <c r="H2122" s="36" t="s">
        <v>42</v>
      </c>
    </row>
    <row r="2123" spans="8:8" x14ac:dyDescent="0.35">
      <c r="H2123" s="36" t="s">
        <v>42</v>
      </c>
    </row>
    <row r="2124" spans="8:8" x14ac:dyDescent="0.35">
      <c r="H2124" s="36" t="s">
        <v>42</v>
      </c>
    </row>
    <row r="2125" spans="8:8" x14ac:dyDescent="0.35">
      <c r="H2125" s="36" t="s">
        <v>42</v>
      </c>
    </row>
    <row r="2126" spans="8:8" x14ac:dyDescent="0.35">
      <c r="H2126" s="36" t="s">
        <v>42</v>
      </c>
    </row>
    <row r="2127" spans="8:8" x14ac:dyDescent="0.35">
      <c r="H2127" s="36" t="s">
        <v>42</v>
      </c>
    </row>
    <row r="2128" spans="8:8" x14ac:dyDescent="0.35">
      <c r="H2128" s="36" t="s">
        <v>42</v>
      </c>
    </row>
    <row r="2129" spans="8:8" x14ac:dyDescent="0.35">
      <c r="H2129" s="36" t="s">
        <v>42</v>
      </c>
    </row>
    <row r="2130" spans="8:8" x14ac:dyDescent="0.35">
      <c r="H2130" s="36" t="s">
        <v>42</v>
      </c>
    </row>
    <row r="2131" spans="8:8" x14ac:dyDescent="0.35">
      <c r="H2131" s="36" t="s">
        <v>42</v>
      </c>
    </row>
    <row r="2132" spans="8:8" x14ac:dyDescent="0.35">
      <c r="H2132" s="36" t="s">
        <v>42</v>
      </c>
    </row>
    <row r="2133" spans="8:8" x14ac:dyDescent="0.35">
      <c r="H2133" s="36" t="s">
        <v>42</v>
      </c>
    </row>
    <row r="2134" spans="8:8" x14ac:dyDescent="0.35">
      <c r="H2134" s="36" t="s">
        <v>42</v>
      </c>
    </row>
    <row r="2135" spans="8:8" x14ac:dyDescent="0.35">
      <c r="H2135" s="36" t="s">
        <v>42</v>
      </c>
    </row>
    <row r="2136" spans="8:8" x14ac:dyDescent="0.35">
      <c r="H2136" s="36" t="s">
        <v>42</v>
      </c>
    </row>
    <row r="2137" spans="8:8" x14ac:dyDescent="0.35">
      <c r="H2137" s="36" t="s">
        <v>42</v>
      </c>
    </row>
    <row r="2138" spans="8:8" x14ac:dyDescent="0.35">
      <c r="H2138" s="36" t="s">
        <v>42</v>
      </c>
    </row>
    <row r="2139" spans="8:8" x14ac:dyDescent="0.35">
      <c r="H2139" s="36" t="s">
        <v>42</v>
      </c>
    </row>
    <row r="2140" spans="8:8" x14ac:dyDescent="0.35">
      <c r="H2140" s="36" t="s">
        <v>42</v>
      </c>
    </row>
    <row r="2141" spans="8:8" x14ac:dyDescent="0.35">
      <c r="H2141" s="36" t="s">
        <v>42</v>
      </c>
    </row>
    <row r="2142" spans="8:8" x14ac:dyDescent="0.35">
      <c r="H2142" s="36" t="s">
        <v>42</v>
      </c>
    </row>
    <row r="2143" spans="8:8" x14ac:dyDescent="0.35">
      <c r="H2143" s="36" t="s">
        <v>42</v>
      </c>
    </row>
    <row r="2144" spans="8:8" x14ac:dyDescent="0.35">
      <c r="H2144" s="36" t="s">
        <v>42</v>
      </c>
    </row>
    <row r="2145" spans="8:8" x14ac:dyDescent="0.35">
      <c r="H2145" s="36" t="s">
        <v>42</v>
      </c>
    </row>
    <row r="2146" spans="8:8" x14ac:dyDescent="0.35">
      <c r="H2146" s="36" t="s">
        <v>42</v>
      </c>
    </row>
    <row r="2147" spans="8:8" x14ac:dyDescent="0.35">
      <c r="H2147" s="36" t="s">
        <v>42</v>
      </c>
    </row>
    <row r="2148" spans="8:8" x14ac:dyDescent="0.35">
      <c r="H2148" s="36" t="s">
        <v>42</v>
      </c>
    </row>
    <row r="2149" spans="8:8" x14ac:dyDescent="0.35">
      <c r="H2149" s="36" t="s">
        <v>42</v>
      </c>
    </row>
    <row r="2150" spans="8:8" x14ac:dyDescent="0.35">
      <c r="H2150" s="36" t="s">
        <v>42</v>
      </c>
    </row>
    <row r="2151" spans="8:8" x14ac:dyDescent="0.35">
      <c r="H2151" s="36" t="s">
        <v>42</v>
      </c>
    </row>
    <row r="2152" spans="8:8" x14ac:dyDescent="0.35">
      <c r="H2152" s="36" t="s">
        <v>42</v>
      </c>
    </row>
    <row r="2153" spans="8:8" x14ac:dyDescent="0.35">
      <c r="H2153" s="36" t="s">
        <v>42</v>
      </c>
    </row>
    <row r="2154" spans="8:8" x14ac:dyDescent="0.35">
      <c r="H2154" s="36" t="s">
        <v>42</v>
      </c>
    </row>
    <row r="2155" spans="8:8" x14ac:dyDescent="0.35">
      <c r="H2155" s="36" t="s">
        <v>42</v>
      </c>
    </row>
    <row r="2156" spans="8:8" x14ac:dyDescent="0.35">
      <c r="H2156" s="36" t="s">
        <v>42</v>
      </c>
    </row>
    <row r="2157" spans="8:8" x14ac:dyDescent="0.35">
      <c r="H2157" s="36" t="s">
        <v>42</v>
      </c>
    </row>
    <row r="2158" spans="8:8" x14ac:dyDescent="0.35">
      <c r="H2158" s="36" t="s">
        <v>42</v>
      </c>
    </row>
    <row r="2159" spans="8:8" x14ac:dyDescent="0.35">
      <c r="H2159" s="36" t="s">
        <v>42</v>
      </c>
    </row>
    <row r="2160" spans="8:8" x14ac:dyDescent="0.35">
      <c r="H2160" s="36" t="s">
        <v>42</v>
      </c>
    </row>
    <row r="2161" spans="8:8" x14ac:dyDescent="0.35">
      <c r="H2161" s="36" t="s">
        <v>42</v>
      </c>
    </row>
    <row r="2162" spans="8:8" x14ac:dyDescent="0.35">
      <c r="H2162" s="36" t="s">
        <v>42</v>
      </c>
    </row>
    <row r="2163" spans="8:8" x14ac:dyDescent="0.35">
      <c r="H2163" s="36" t="s">
        <v>42</v>
      </c>
    </row>
    <row r="2164" spans="8:8" x14ac:dyDescent="0.35">
      <c r="H2164" s="36" t="s">
        <v>42</v>
      </c>
    </row>
    <row r="2165" spans="8:8" x14ac:dyDescent="0.35">
      <c r="H2165" s="36" t="s">
        <v>42</v>
      </c>
    </row>
    <row r="2166" spans="8:8" x14ac:dyDescent="0.35">
      <c r="H2166" s="36" t="s">
        <v>42</v>
      </c>
    </row>
    <row r="2167" spans="8:8" x14ac:dyDescent="0.35">
      <c r="H2167" s="36" t="s">
        <v>42</v>
      </c>
    </row>
    <row r="2168" spans="8:8" x14ac:dyDescent="0.35">
      <c r="H2168" s="36" t="s">
        <v>42</v>
      </c>
    </row>
    <row r="2169" spans="8:8" x14ac:dyDescent="0.35">
      <c r="H2169" s="36" t="s">
        <v>42</v>
      </c>
    </row>
    <row r="2170" spans="8:8" x14ac:dyDescent="0.35">
      <c r="H2170" s="36" t="s">
        <v>42</v>
      </c>
    </row>
    <row r="2171" spans="8:8" x14ac:dyDescent="0.35">
      <c r="H2171" s="36" t="s">
        <v>42</v>
      </c>
    </row>
    <row r="2172" spans="8:8" x14ac:dyDescent="0.35">
      <c r="H2172" s="36" t="s">
        <v>42</v>
      </c>
    </row>
    <row r="2173" spans="8:8" x14ac:dyDescent="0.35">
      <c r="H2173" s="36" t="s">
        <v>42</v>
      </c>
    </row>
    <row r="2174" spans="8:8" x14ac:dyDescent="0.35">
      <c r="H2174" s="36" t="s">
        <v>42</v>
      </c>
    </row>
    <row r="2175" spans="8:8" x14ac:dyDescent="0.35">
      <c r="H2175" s="36" t="s">
        <v>42</v>
      </c>
    </row>
    <row r="2176" spans="8:8" x14ac:dyDescent="0.35">
      <c r="H2176" s="36" t="s">
        <v>42</v>
      </c>
    </row>
    <row r="2177" spans="8:8" x14ac:dyDescent="0.35">
      <c r="H2177" s="36" t="s">
        <v>42</v>
      </c>
    </row>
    <row r="2178" spans="8:8" x14ac:dyDescent="0.35">
      <c r="H2178" s="36" t="s">
        <v>42</v>
      </c>
    </row>
    <row r="2179" spans="8:8" x14ac:dyDescent="0.35">
      <c r="H2179" s="36" t="s">
        <v>42</v>
      </c>
    </row>
    <row r="2180" spans="8:8" x14ac:dyDescent="0.35">
      <c r="H2180" s="36" t="s">
        <v>42</v>
      </c>
    </row>
    <row r="2181" spans="8:8" x14ac:dyDescent="0.35">
      <c r="H2181" s="36" t="s">
        <v>42</v>
      </c>
    </row>
    <row r="2182" spans="8:8" x14ac:dyDescent="0.35">
      <c r="H2182" s="36" t="s">
        <v>42</v>
      </c>
    </row>
    <row r="2183" spans="8:8" x14ac:dyDescent="0.35">
      <c r="H2183" s="36" t="s">
        <v>42</v>
      </c>
    </row>
    <row r="2184" spans="8:8" x14ac:dyDescent="0.35">
      <c r="H2184" s="36" t="s">
        <v>42</v>
      </c>
    </row>
    <row r="2185" spans="8:8" x14ac:dyDescent="0.35">
      <c r="H2185" s="36" t="s">
        <v>42</v>
      </c>
    </row>
    <row r="2186" spans="8:8" x14ac:dyDescent="0.35">
      <c r="H2186" s="36" t="s">
        <v>42</v>
      </c>
    </row>
    <row r="2187" spans="8:8" x14ac:dyDescent="0.35">
      <c r="H2187" s="36" t="s">
        <v>42</v>
      </c>
    </row>
    <row r="2188" spans="8:8" x14ac:dyDescent="0.35">
      <c r="H2188" s="36" t="s">
        <v>42</v>
      </c>
    </row>
    <row r="2189" spans="8:8" x14ac:dyDescent="0.35">
      <c r="H2189" s="36" t="s">
        <v>42</v>
      </c>
    </row>
    <row r="2190" spans="8:8" x14ac:dyDescent="0.35">
      <c r="H2190" s="36" t="s">
        <v>42</v>
      </c>
    </row>
    <row r="2191" spans="8:8" x14ac:dyDescent="0.35">
      <c r="H2191" s="36" t="s">
        <v>42</v>
      </c>
    </row>
    <row r="2192" spans="8:8" x14ac:dyDescent="0.35">
      <c r="H2192" s="36" t="s">
        <v>42</v>
      </c>
    </row>
    <row r="2193" spans="8:8" x14ac:dyDescent="0.35">
      <c r="H2193" s="36" t="s">
        <v>42</v>
      </c>
    </row>
    <row r="2194" spans="8:8" x14ac:dyDescent="0.35">
      <c r="H2194" s="36" t="s">
        <v>42</v>
      </c>
    </row>
    <row r="2195" spans="8:8" x14ac:dyDescent="0.35">
      <c r="H2195" s="36" t="s">
        <v>42</v>
      </c>
    </row>
    <row r="2196" spans="8:8" x14ac:dyDescent="0.35">
      <c r="H2196" s="36" t="s">
        <v>42</v>
      </c>
    </row>
    <row r="2197" spans="8:8" x14ac:dyDescent="0.35">
      <c r="H2197" s="36" t="s">
        <v>42</v>
      </c>
    </row>
    <row r="2198" spans="8:8" x14ac:dyDescent="0.35">
      <c r="H2198" s="36" t="s">
        <v>42</v>
      </c>
    </row>
    <row r="2199" spans="8:8" x14ac:dyDescent="0.35">
      <c r="H2199" s="36" t="s">
        <v>42</v>
      </c>
    </row>
    <row r="2200" spans="8:8" x14ac:dyDescent="0.35">
      <c r="H2200" s="36" t="s">
        <v>42</v>
      </c>
    </row>
    <row r="2201" spans="8:8" x14ac:dyDescent="0.35">
      <c r="H2201" s="36" t="s">
        <v>42</v>
      </c>
    </row>
    <row r="2202" spans="8:8" x14ac:dyDescent="0.35">
      <c r="H2202" s="36" t="s">
        <v>42</v>
      </c>
    </row>
    <row r="2203" spans="8:8" x14ac:dyDescent="0.35">
      <c r="H2203" s="36" t="s">
        <v>42</v>
      </c>
    </row>
    <row r="2204" spans="8:8" x14ac:dyDescent="0.35">
      <c r="H2204" s="36" t="s">
        <v>42</v>
      </c>
    </row>
    <row r="2205" spans="8:8" x14ac:dyDescent="0.35">
      <c r="H2205" s="36" t="s">
        <v>42</v>
      </c>
    </row>
    <row r="2206" spans="8:8" x14ac:dyDescent="0.35">
      <c r="H2206" s="36" t="s">
        <v>42</v>
      </c>
    </row>
    <row r="2207" spans="8:8" x14ac:dyDescent="0.35">
      <c r="H2207" s="36" t="s">
        <v>42</v>
      </c>
    </row>
    <row r="2208" spans="8:8" x14ac:dyDescent="0.35">
      <c r="H2208" s="36" t="s">
        <v>42</v>
      </c>
    </row>
    <row r="2209" spans="8:8" x14ac:dyDescent="0.35">
      <c r="H2209" s="36" t="s">
        <v>42</v>
      </c>
    </row>
    <row r="2210" spans="8:8" x14ac:dyDescent="0.35">
      <c r="H2210" s="36" t="s">
        <v>42</v>
      </c>
    </row>
    <row r="2211" spans="8:8" x14ac:dyDescent="0.35">
      <c r="H2211" s="36" t="s">
        <v>42</v>
      </c>
    </row>
    <row r="2212" spans="8:8" x14ac:dyDescent="0.35">
      <c r="H2212" s="36" t="s">
        <v>42</v>
      </c>
    </row>
    <row r="2213" spans="8:8" x14ac:dyDescent="0.35">
      <c r="H2213" s="36" t="s">
        <v>42</v>
      </c>
    </row>
    <row r="2214" spans="8:8" x14ac:dyDescent="0.35">
      <c r="H2214" s="36" t="s">
        <v>42</v>
      </c>
    </row>
    <row r="2215" spans="8:8" x14ac:dyDescent="0.35">
      <c r="H2215" s="36" t="s">
        <v>42</v>
      </c>
    </row>
    <row r="2216" spans="8:8" x14ac:dyDescent="0.35">
      <c r="H2216" s="36" t="s">
        <v>42</v>
      </c>
    </row>
    <row r="2217" spans="8:8" x14ac:dyDescent="0.35">
      <c r="H2217" s="36" t="s">
        <v>42</v>
      </c>
    </row>
    <row r="2218" spans="8:8" x14ac:dyDescent="0.35">
      <c r="H2218" s="36" t="s">
        <v>42</v>
      </c>
    </row>
    <row r="2219" spans="8:8" x14ac:dyDescent="0.35">
      <c r="H2219" s="36" t="s">
        <v>42</v>
      </c>
    </row>
    <row r="2220" spans="8:8" x14ac:dyDescent="0.35">
      <c r="H2220" s="36" t="s">
        <v>42</v>
      </c>
    </row>
    <row r="2221" spans="8:8" x14ac:dyDescent="0.35">
      <c r="H2221" s="36" t="s">
        <v>42</v>
      </c>
    </row>
    <row r="2222" spans="8:8" x14ac:dyDescent="0.35">
      <c r="H2222" s="36" t="s">
        <v>42</v>
      </c>
    </row>
    <row r="2223" spans="8:8" x14ac:dyDescent="0.35">
      <c r="H2223" s="36" t="s">
        <v>42</v>
      </c>
    </row>
    <row r="2224" spans="8:8" x14ac:dyDescent="0.35">
      <c r="H2224" s="36" t="s">
        <v>42</v>
      </c>
    </row>
    <row r="2225" spans="8:8" x14ac:dyDescent="0.35">
      <c r="H2225" s="36" t="s">
        <v>42</v>
      </c>
    </row>
    <row r="2226" spans="8:8" x14ac:dyDescent="0.35">
      <c r="H2226" s="36" t="s">
        <v>42</v>
      </c>
    </row>
    <row r="2227" spans="8:8" x14ac:dyDescent="0.35">
      <c r="H2227" s="36" t="s">
        <v>42</v>
      </c>
    </row>
    <row r="2228" spans="8:8" x14ac:dyDescent="0.35">
      <c r="H2228" s="36" t="s">
        <v>42</v>
      </c>
    </row>
    <row r="2229" spans="8:8" x14ac:dyDescent="0.35">
      <c r="H2229" s="36" t="s">
        <v>42</v>
      </c>
    </row>
    <row r="2230" spans="8:8" x14ac:dyDescent="0.35">
      <c r="H2230" s="36" t="s">
        <v>42</v>
      </c>
    </row>
    <row r="2231" spans="8:8" x14ac:dyDescent="0.35">
      <c r="H2231" s="36" t="s">
        <v>42</v>
      </c>
    </row>
    <row r="2232" spans="8:8" x14ac:dyDescent="0.35">
      <c r="H2232" s="36" t="s">
        <v>42</v>
      </c>
    </row>
    <row r="2233" spans="8:8" x14ac:dyDescent="0.35">
      <c r="H2233" s="36" t="s">
        <v>42</v>
      </c>
    </row>
    <row r="2234" spans="8:8" x14ac:dyDescent="0.35">
      <c r="H2234" s="36" t="s">
        <v>42</v>
      </c>
    </row>
    <row r="2235" spans="8:8" x14ac:dyDescent="0.35">
      <c r="H2235" s="36" t="s">
        <v>42</v>
      </c>
    </row>
    <row r="2236" spans="8:8" x14ac:dyDescent="0.35">
      <c r="H2236" s="36" t="s">
        <v>42</v>
      </c>
    </row>
    <row r="2237" spans="8:8" x14ac:dyDescent="0.35">
      <c r="H2237" s="36" t="s">
        <v>42</v>
      </c>
    </row>
    <row r="2238" spans="8:8" x14ac:dyDescent="0.35">
      <c r="H2238" s="36" t="s">
        <v>42</v>
      </c>
    </row>
    <row r="2239" spans="8:8" x14ac:dyDescent="0.35">
      <c r="H2239" s="36" t="s">
        <v>42</v>
      </c>
    </row>
    <row r="2240" spans="8:8" x14ac:dyDescent="0.35">
      <c r="H2240" s="36" t="s">
        <v>42</v>
      </c>
    </row>
    <row r="2241" spans="8:8" x14ac:dyDescent="0.35">
      <c r="H2241" s="36" t="s">
        <v>42</v>
      </c>
    </row>
    <row r="2242" spans="8:8" x14ac:dyDescent="0.35">
      <c r="H2242" s="36" t="s">
        <v>42</v>
      </c>
    </row>
    <row r="2243" spans="8:8" x14ac:dyDescent="0.35">
      <c r="H2243" s="36" t="s">
        <v>42</v>
      </c>
    </row>
    <row r="2244" spans="8:8" x14ac:dyDescent="0.35">
      <c r="H2244" s="36" t="s">
        <v>42</v>
      </c>
    </row>
    <row r="2245" spans="8:8" x14ac:dyDescent="0.35">
      <c r="H2245" s="36" t="s">
        <v>42</v>
      </c>
    </row>
    <row r="2246" spans="8:8" x14ac:dyDescent="0.35">
      <c r="H2246" s="36" t="s">
        <v>42</v>
      </c>
    </row>
    <row r="2247" spans="8:8" x14ac:dyDescent="0.35">
      <c r="H2247" s="36" t="s">
        <v>42</v>
      </c>
    </row>
    <row r="2248" spans="8:8" x14ac:dyDescent="0.35">
      <c r="H2248" s="36" t="s">
        <v>42</v>
      </c>
    </row>
    <row r="2249" spans="8:8" x14ac:dyDescent="0.35">
      <c r="H2249" s="36" t="s">
        <v>42</v>
      </c>
    </row>
    <row r="2250" spans="8:8" x14ac:dyDescent="0.35">
      <c r="H2250" s="36" t="s">
        <v>42</v>
      </c>
    </row>
    <row r="2251" spans="8:8" x14ac:dyDescent="0.35">
      <c r="H2251" s="36" t="s">
        <v>42</v>
      </c>
    </row>
    <row r="2252" spans="8:8" x14ac:dyDescent="0.35">
      <c r="H2252" s="36" t="s">
        <v>42</v>
      </c>
    </row>
    <row r="2253" spans="8:8" x14ac:dyDescent="0.35">
      <c r="H2253" s="36" t="s">
        <v>42</v>
      </c>
    </row>
    <row r="2254" spans="8:8" x14ac:dyDescent="0.35">
      <c r="H2254" s="36" t="s">
        <v>42</v>
      </c>
    </row>
    <row r="2255" spans="8:8" x14ac:dyDescent="0.35">
      <c r="H2255" s="36" t="s">
        <v>42</v>
      </c>
    </row>
    <row r="2256" spans="8:8" x14ac:dyDescent="0.35">
      <c r="H2256" s="36" t="s">
        <v>42</v>
      </c>
    </row>
    <row r="2257" spans="8:8" x14ac:dyDescent="0.35">
      <c r="H2257" s="36" t="s">
        <v>42</v>
      </c>
    </row>
    <row r="2258" spans="8:8" x14ac:dyDescent="0.35">
      <c r="H2258" s="36" t="s">
        <v>42</v>
      </c>
    </row>
    <row r="2259" spans="8:8" x14ac:dyDescent="0.35">
      <c r="H2259" s="36" t="s">
        <v>42</v>
      </c>
    </row>
    <row r="2260" spans="8:8" x14ac:dyDescent="0.35">
      <c r="H2260" s="36" t="s">
        <v>42</v>
      </c>
    </row>
    <row r="2261" spans="8:8" x14ac:dyDescent="0.35">
      <c r="H2261" s="36" t="s">
        <v>42</v>
      </c>
    </row>
    <row r="2262" spans="8:8" x14ac:dyDescent="0.35">
      <c r="H2262" s="36" t="s">
        <v>42</v>
      </c>
    </row>
    <row r="2263" spans="8:8" x14ac:dyDescent="0.35">
      <c r="H2263" s="36" t="s">
        <v>42</v>
      </c>
    </row>
    <row r="2264" spans="8:8" x14ac:dyDescent="0.35">
      <c r="H2264" s="36" t="s">
        <v>42</v>
      </c>
    </row>
    <row r="2265" spans="8:8" x14ac:dyDescent="0.35">
      <c r="H2265" s="36" t="s">
        <v>42</v>
      </c>
    </row>
    <row r="2266" spans="8:8" x14ac:dyDescent="0.35">
      <c r="H2266" s="36" t="s">
        <v>42</v>
      </c>
    </row>
    <row r="2267" spans="8:8" x14ac:dyDescent="0.35">
      <c r="H2267" s="36" t="s">
        <v>42</v>
      </c>
    </row>
    <row r="2268" spans="8:8" x14ac:dyDescent="0.35">
      <c r="H2268" s="36" t="s">
        <v>42</v>
      </c>
    </row>
    <row r="2269" spans="8:8" x14ac:dyDescent="0.35">
      <c r="H2269" s="36" t="s">
        <v>42</v>
      </c>
    </row>
    <row r="2270" spans="8:8" x14ac:dyDescent="0.35">
      <c r="H2270" s="36" t="s">
        <v>42</v>
      </c>
    </row>
    <row r="2271" spans="8:8" x14ac:dyDescent="0.35">
      <c r="H2271" s="36" t="s">
        <v>42</v>
      </c>
    </row>
    <row r="2272" spans="8:8" x14ac:dyDescent="0.35">
      <c r="H2272" s="36" t="s">
        <v>42</v>
      </c>
    </row>
    <row r="2273" spans="8:8" x14ac:dyDescent="0.35">
      <c r="H2273" s="36" t="s">
        <v>42</v>
      </c>
    </row>
    <row r="2274" spans="8:8" x14ac:dyDescent="0.35">
      <c r="H2274" s="36" t="s">
        <v>42</v>
      </c>
    </row>
    <row r="2275" spans="8:8" x14ac:dyDescent="0.35">
      <c r="H2275" s="36" t="s">
        <v>42</v>
      </c>
    </row>
    <row r="2276" spans="8:8" x14ac:dyDescent="0.35">
      <c r="H2276" s="36" t="s">
        <v>42</v>
      </c>
    </row>
    <row r="2277" spans="8:8" x14ac:dyDescent="0.35">
      <c r="H2277" s="36" t="s">
        <v>42</v>
      </c>
    </row>
    <row r="2278" spans="8:8" x14ac:dyDescent="0.35">
      <c r="H2278" s="36" t="s">
        <v>42</v>
      </c>
    </row>
    <row r="2279" spans="8:8" x14ac:dyDescent="0.35">
      <c r="H2279" s="36" t="s">
        <v>42</v>
      </c>
    </row>
    <row r="2280" spans="8:8" x14ac:dyDescent="0.35">
      <c r="H2280" s="36" t="s">
        <v>42</v>
      </c>
    </row>
    <row r="2281" spans="8:8" x14ac:dyDescent="0.35">
      <c r="H2281" s="36" t="s">
        <v>42</v>
      </c>
    </row>
    <row r="2282" spans="8:8" x14ac:dyDescent="0.35">
      <c r="H2282" s="36" t="s">
        <v>42</v>
      </c>
    </row>
    <row r="2283" spans="8:8" x14ac:dyDescent="0.35">
      <c r="H2283" s="36" t="s">
        <v>42</v>
      </c>
    </row>
    <row r="2284" spans="8:8" x14ac:dyDescent="0.35">
      <c r="H2284" s="36" t="s">
        <v>42</v>
      </c>
    </row>
    <row r="2285" spans="8:8" x14ac:dyDescent="0.35">
      <c r="H2285" s="36" t="s">
        <v>42</v>
      </c>
    </row>
    <row r="2286" spans="8:8" x14ac:dyDescent="0.35">
      <c r="H2286" s="36" t="s">
        <v>42</v>
      </c>
    </row>
    <row r="2287" spans="8:8" x14ac:dyDescent="0.35">
      <c r="H2287" s="36" t="s">
        <v>42</v>
      </c>
    </row>
    <row r="2288" spans="8:8" x14ac:dyDescent="0.35">
      <c r="H2288" s="36" t="s">
        <v>42</v>
      </c>
    </row>
    <row r="2289" spans="8:8" x14ac:dyDescent="0.35">
      <c r="H2289" s="36" t="s">
        <v>42</v>
      </c>
    </row>
    <row r="2290" spans="8:8" x14ac:dyDescent="0.35">
      <c r="H2290" s="36" t="s">
        <v>42</v>
      </c>
    </row>
    <row r="2291" spans="8:8" x14ac:dyDescent="0.35">
      <c r="H2291" s="36" t="s">
        <v>42</v>
      </c>
    </row>
    <row r="2292" spans="8:8" x14ac:dyDescent="0.35">
      <c r="H2292" s="36" t="s">
        <v>42</v>
      </c>
    </row>
    <row r="2293" spans="8:8" x14ac:dyDescent="0.35">
      <c r="H2293" s="36" t="s">
        <v>42</v>
      </c>
    </row>
    <row r="2294" spans="8:8" x14ac:dyDescent="0.35">
      <c r="H2294" s="36" t="s">
        <v>42</v>
      </c>
    </row>
    <row r="2295" spans="8:8" x14ac:dyDescent="0.35">
      <c r="H2295" s="36" t="s">
        <v>42</v>
      </c>
    </row>
    <row r="2296" spans="8:8" x14ac:dyDescent="0.35">
      <c r="H2296" s="36" t="s">
        <v>42</v>
      </c>
    </row>
    <row r="2297" spans="8:8" x14ac:dyDescent="0.35">
      <c r="H2297" s="36" t="s">
        <v>42</v>
      </c>
    </row>
    <row r="2298" spans="8:8" x14ac:dyDescent="0.35">
      <c r="H2298" s="36" t="s">
        <v>42</v>
      </c>
    </row>
    <row r="2299" spans="8:8" x14ac:dyDescent="0.35">
      <c r="H2299" s="36" t="s">
        <v>42</v>
      </c>
    </row>
    <row r="2300" spans="8:8" x14ac:dyDescent="0.35">
      <c r="H2300" s="36" t="s">
        <v>42</v>
      </c>
    </row>
    <row r="2301" spans="8:8" x14ac:dyDescent="0.35">
      <c r="H2301" s="36" t="s">
        <v>42</v>
      </c>
    </row>
    <row r="2302" spans="8:8" x14ac:dyDescent="0.35">
      <c r="H2302" s="36" t="s">
        <v>42</v>
      </c>
    </row>
    <row r="2303" spans="8:8" x14ac:dyDescent="0.35">
      <c r="H2303" s="36" t="s">
        <v>42</v>
      </c>
    </row>
    <row r="2304" spans="8:8" x14ac:dyDescent="0.35">
      <c r="H2304" s="36" t="s">
        <v>42</v>
      </c>
    </row>
    <row r="2305" spans="8:8" x14ac:dyDescent="0.35">
      <c r="H2305" s="36" t="s">
        <v>42</v>
      </c>
    </row>
    <row r="2306" spans="8:8" x14ac:dyDescent="0.35">
      <c r="H2306" s="36" t="s">
        <v>42</v>
      </c>
    </row>
    <row r="2307" spans="8:8" x14ac:dyDescent="0.35">
      <c r="H2307" s="36" t="s">
        <v>42</v>
      </c>
    </row>
    <row r="2308" spans="8:8" x14ac:dyDescent="0.35">
      <c r="H2308" s="36" t="s">
        <v>42</v>
      </c>
    </row>
    <row r="2309" spans="8:8" x14ac:dyDescent="0.35">
      <c r="H2309" s="36" t="s">
        <v>42</v>
      </c>
    </row>
    <row r="2310" spans="8:8" x14ac:dyDescent="0.35">
      <c r="H2310" s="36" t="s">
        <v>42</v>
      </c>
    </row>
    <row r="2311" spans="8:8" x14ac:dyDescent="0.35">
      <c r="H2311" s="36" t="s">
        <v>42</v>
      </c>
    </row>
    <row r="2312" spans="8:8" x14ac:dyDescent="0.35">
      <c r="H2312" s="36" t="s">
        <v>42</v>
      </c>
    </row>
    <row r="2313" spans="8:8" x14ac:dyDescent="0.35">
      <c r="H2313" s="36" t="s">
        <v>42</v>
      </c>
    </row>
    <row r="2314" spans="8:8" x14ac:dyDescent="0.35">
      <c r="H2314" s="36" t="s">
        <v>42</v>
      </c>
    </row>
    <row r="2315" spans="8:8" x14ac:dyDescent="0.35">
      <c r="H2315" s="36" t="s">
        <v>42</v>
      </c>
    </row>
    <row r="2316" spans="8:8" x14ac:dyDescent="0.35">
      <c r="H2316" s="36" t="s">
        <v>42</v>
      </c>
    </row>
    <row r="2317" spans="8:8" x14ac:dyDescent="0.35">
      <c r="H2317" s="36" t="s">
        <v>42</v>
      </c>
    </row>
    <row r="2318" spans="8:8" x14ac:dyDescent="0.35">
      <c r="H2318" s="36" t="s">
        <v>42</v>
      </c>
    </row>
    <row r="2319" spans="8:8" x14ac:dyDescent="0.35">
      <c r="H2319" s="36" t="s">
        <v>42</v>
      </c>
    </row>
    <row r="2320" spans="8:8" x14ac:dyDescent="0.35">
      <c r="H2320" s="36" t="s">
        <v>42</v>
      </c>
    </row>
    <row r="2321" spans="8:8" x14ac:dyDescent="0.35">
      <c r="H2321" s="36" t="s">
        <v>42</v>
      </c>
    </row>
    <row r="2322" spans="8:8" x14ac:dyDescent="0.35">
      <c r="H2322" s="36" t="s">
        <v>42</v>
      </c>
    </row>
    <row r="2323" spans="8:8" x14ac:dyDescent="0.35">
      <c r="H2323" s="36" t="s">
        <v>42</v>
      </c>
    </row>
    <row r="2324" spans="8:8" x14ac:dyDescent="0.35">
      <c r="H2324" s="36" t="s">
        <v>42</v>
      </c>
    </row>
    <row r="2325" spans="8:8" x14ac:dyDescent="0.35">
      <c r="H2325" s="36" t="s">
        <v>42</v>
      </c>
    </row>
    <row r="2326" spans="8:8" x14ac:dyDescent="0.35">
      <c r="H2326" s="36" t="s">
        <v>42</v>
      </c>
    </row>
    <row r="2327" spans="8:8" x14ac:dyDescent="0.35">
      <c r="H2327" s="36" t="s">
        <v>42</v>
      </c>
    </row>
    <row r="2328" spans="8:8" x14ac:dyDescent="0.35">
      <c r="H2328" s="36" t="s">
        <v>42</v>
      </c>
    </row>
    <row r="2329" spans="8:8" x14ac:dyDescent="0.35">
      <c r="H2329" s="36" t="s">
        <v>42</v>
      </c>
    </row>
    <row r="2330" spans="8:8" x14ac:dyDescent="0.35">
      <c r="H2330" s="36" t="s">
        <v>42</v>
      </c>
    </row>
    <row r="2331" spans="8:8" x14ac:dyDescent="0.35">
      <c r="H2331" s="36" t="s">
        <v>42</v>
      </c>
    </row>
    <row r="2332" spans="8:8" x14ac:dyDescent="0.35">
      <c r="H2332" s="36" t="s">
        <v>42</v>
      </c>
    </row>
    <row r="2333" spans="8:8" x14ac:dyDescent="0.35">
      <c r="H2333" s="36" t="s">
        <v>42</v>
      </c>
    </row>
    <row r="2334" spans="8:8" x14ac:dyDescent="0.35">
      <c r="H2334" s="36" t="s">
        <v>42</v>
      </c>
    </row>
    <row r="2335" spans="8:8" x14ac:dyDescent="0.35">
      <c r="H2335" s="36" t="s">
        <v>42</v>
      </c>
    </row>
    <row r="2336" spans="8:8" x14ac:dyDescent="0.35">
      <c r="H2336" s="36" t="s">
        <v>42</v>
      </c>
    </row>
    <row r="2337" spans="8:8" x14ac:dyDescent="0.35">
      <c r="H2337" s="36" t="s">
        <v>42</v>
      </c>
    </row>
    <row r="2338" spans="8:8" x14ac:dyDescent="0.35">
      <c r="H2338" s="36" t="s">
        <v>42</v>
      </c>
    </row>
    <row r="2339" spans="8:8" x14ac:dyDescent="0.35">
      <c r="H2339" s="36" t="s">
        <v>42</v>
      </c>
    </row>
    <row r="2340" spans="8:8" x14ac:dyDescent="0.35">
      <c r="H2340" s="36" t="s">
        <v>42</v>
      </c>
    </row>
    <row r="2341" spans="8:8" x14ac:dyDescent="0.35">
      <c r="H2341" s="36" t="s">
        <v>42</v>
      </c>
    </row>
    <row r="2342" spans="8:8" x14ac:dyDescent="0.35">
      <c r="H2342" s="36" t="s">
        <v>42</v>
      </c>
    </row>
    <row r="2343" spans="8:8" x14ac:dyDescent="0.35">
      <c r="H2343" s="36" t="s">
        <v>42</v>
      </c>
    </row>
    <row r="2344" spans="8:8" x14ac:dyDescent="0.35">
      <c r="H2344" s="36" t="s">
        <v>42</v>
      </c>
    </row>
    <row r="2345" spans="8:8" x14ac:dyDescent="0.35">
      <c r="H2345" s="36" t="s">
        <v>42</v>
      </c>
    </row>
    <row r="2346" spans="8:8" x14ac:dyDescent="0.35">
      <c r="H2346" s="36" t="s">
        <v>42</v>
      </c>
    </row>
    <row r="2347" spans="8:8" x14ac:dyDescent="0.35">
      <c r="H2347" s="36" t="s">
        <v>42</v>
      </c>
    </row>
    <row r="2348" spans="8:8" x14ac:dyDescent="0.35">
      <c r="H2348" s="36" t="s">
        <v>42</v>
      </c>
    </row>
    <row r="2349" spans="8:8" x14ac:dyDescent="0.35">
      <c r="H2349" s="36" t="s">
        <v>42</v>
      </c>
    </row>
    <row r="2350" spans="8:8" x14ac:dyDescent="0.35">
      <c r="H2350" s="36" t="s">
        <v>42</v>
      </c>
    </row>
    <row r="2351" spans="8:8" x14ac:dyDescent="0.35">
      <c r="H2351" s="36" t="s">
        <v>42</v>
      </c>
    </row>
    <row r="2352" spans="8:8" x14ac:dyDescent="0.35">
      <c r="H2352" s="36" t="s">
        <v>42</v>
      </c>
    </row>
    <row r="2353" spans="8:8" x14ac:dyDescent="0.35">
      <c r="H2353" s="36" t="s">
        <v>42</v>
      </c>
    </row>
    <row r="2354" spans="8:8" x14ac:dyDescent="0.35">
      <c r="H2354" s="36" t="s">
        <v>42</v>
      </c>
    </row>
    <row r="2355" spans="8:8" x14ac:dyDescent="0.35">
      <c r="H2355" s="36" t="s">
        <v>42</v>
      </c>
    </row>
    <row r="2356" spans="8:8" x14ac:dyDescent="0.35">
      <c r="H2356" s="36" t="s">
        <v>42</v>
      </c>
    </row>
    <row r="2357" spans="8:8" x14ac:dyDescent="0.35">
      <c r="H2357" s="36" t="s">
        <v>42</v>
      </c>
    </row>
    <row r="2358" spans="8:8" x14ac:dyDescent="0.35">
      <c r="H2358" s="36" t="s">
        <v>42</v>
      </c>
    </row>
    <row r="2359" spans="8:8" x14ac:dyDescent="0.35">
      <c r="H2359" s="36" t="s">
        <v>42</v>
      </c>
    </row>
    <row r="2360" spans="8:8" x14ac:dyDescent="0.35">
      <c r="H2360" s="36" t="s">
        <v>42</v>
      </c>
    </row>
    <row r="2361" spans="8:8" x14ac:dyDescent="0.35">
      <c r="H2361" s="36" t="s">
        <v>42</v>
      </c>
    </row>
    <row r="2362" spans="8:8" x14ac:dyDescent="0.35">
      <c r="H2362" s="36" t="s">
        <v>42</v>
      </c>
    </row>
    <row r="2363" spans="8:8" x14ac:dyDescent="0.35">
      <c r="H2363" s="36" t="s">
        <v>42</v>
      </c>
    </row>
    <row r="2364" spans="8:8" x14ac:dyDescent="0.35">
      <c r="H2364" s="36" t="s">
        <v>42</v>
      </c>
    </row>
    <row r="2365" spans="8:8" x14ac:dyDescent="0.35">
      <c r="H2365" s="36" t="s">
        <v>42</v>
      </c>
    </row>
    <row r="2366" spans="8:8" x14ac:dyDescent="0.35">
      <c r="H2366" s="36" t="s">
        <v>42</v>
      </c>
    </row>
    <row r="2367" spans="8:8" x14ac:dyDescent="0.35">
      <c r="H2367" s="36" t="s">
        <v>42</v>
      </c>
    </row>
    <row r="2368" spans="8:8" x14ac:dyDescent="0.35">
      <c r="H2368" s="36" t="s">
        <v>42</v>
      </c>
    </row>
    <row r="2369" spans="8:8" x14ac:dyDescent="0.35">
      <c r="H2369" s="36" t="s">
        <v>42</v>
      </c>
    </row>
    <row r="2370" spans="8:8" x14ac:dyDescent="0.35">
      <c r="H2370" s="36" t="s">
        <v>42</v>
      </c>
    </row>
    <row r="2371" spans="8:8" x14ac:dyDescent="0.35">
      <c r="H2371" s="36" t="s">
        <v>42</v>
      </c>
    </row>
    <row r="2372" spans="8:8" x14ac:dyDescent="0.35">
      <c r="H2372" s="36" t="s">
        <v>42</v>
      </c>
    </row>
    <row r="2373" spans="8:8" x14ac:dyDescent="0.35">
      <c r="H2373" s="36" t="s">
        <v>42</v>
      </c>
    </row>
    <row r="2374" spans="8:8" x14ac:dyDescent="0.35">
      <c r="H2374" s="36" t="s">
        <v>42</v>
      </c>
    </row>
    <row r="2375" spans="8:8" x14ac:dyDescent="0.35">
      <c r="H2375" s="36" t="s">
        <v>42</v>
      </c>
    </row>
    <row r="2376" spans="8:8" x14ac:dyDescent="0.35">
      <c r="H2376" s="36" t="s">
        <v>42</v>
      </c>
    </row>
    <row r="2377" spans="8:8" x14ac:dyDescent="0.35">
      <c r="H2377" s="36" t="s">
        <v>42</v>
      </c>
    </row>
    <row r="2378" spans="8:8" x14ac:dyDescent="0.35">
      <c r="H2378" s="36" t="s">
        <v>42</v>
      </c>
    </row>
    <row r="2379" spans="8:8" x14ac:dyDescent="0.35">
      <c r="H2379" s="36" t="s">
        <v>42</v>
      </c>
    </row>
    <row r="2380" spans="8:8" x14ac:dyDescent="0.35">
      <c r="H2380" s="36" t="s">
        <v>42</v>
      </c>
    </row>
    <row r="2381" spans="8:8" x14ac:dyDescent="0.35">
      <c r="H2381" s="36" t="s">
        <v>42</v>
      </c>
    </row>
    <row r="2382" spans="8:8" x14ac:dyDescent="0.35">
      <c r="H2382" s="36" t="s">
        <v>42</v>
      </c>
    </row>
    <row r="2383" spans="8:8" x14ac:dyDescent="0.35">
      <c r="H2383" s="36" t="s">
        <v>42</v>
      </c>
    </row>
    <row r="2384" spans="8:8" x14ac:dyDescent="0.35">
      <c r="H2384" s="36" t="s">
        <v>42</v>
      </c>
    </row>
    <row r="2385" spans="8:8" x14ac:dyDescent="0.35">
      <c r="H2385" s="36" t="s">
        <v>42</v>
      </c>
    </row>
    <row r="2386" spans="8:8" x14ac:dyDescent="0.35">
      <c r="H2386" s="36" t="s">
        <v>42</v>
      </c>
    </row>
    <row r="2387" spans="8:8" x14ac:dyDescent="0.35">
      <c r="H2387" s="36" t="s">
        <v>42</v>
      </c>
    </row>
    <row r="2388" spans="8:8" x14ac:dyDescent="0.35">
      <c r="H2388" s="36" t="s">
        <v>42</v>
      </c>
    </row>
    <row r="2389" spans="8:8" x14ac:dyDescent="0.35">
      <c r="H2389" s="36" t="s">
        <v>42</v>
      </c>
    </row>
    <row r="2390" spans="8:8" x14ac:dyDescent="0.35">
      <c r="H2390" s="36" t="s">
        <v>42</v>
      </c>
    </row>
    <row r="2391" spans="8:8" x14ac:dyDescent="0.35">
      <c r="H2391" s="36" t="s">
        <v>42</v>
      </c>
    </row>
    <row r="2392" spans="8:8" x14ac:dyDescent="0.35">
      <c r="H2392" s="36" t="s">
        <v>42</v>
      </c>
    </row>
    <row r="2393" spans="8:8" x14ac:dyDescent="0.35">
      <c r="H2393" s="36" t="s">
        <v>42</v>
      </c>
    </row>
    <row r="2394" spans="8:8" x14ac:dyDescent="0.35">
      <c r="H2394" s="36" t="s">
        <v>42</v>
      </c>
    </row>
    <row r="2395" spans="8:8" x14ac:dyDescent="0.35">
      <c r="H2395" s="36" t="s">
        <v>42</v>
      </c>
    </row>
    <row r="2396" spans="8:8" x14ac:dyDescent="0.35">
      <c r="H2396" s="36" t="s">
        <v>42</v>
      </c>
    </row>
    <row r="2397" spans="8:8" x14ac:dyDescent="0.35">
      <c r="H2397" s="36" t="s">
        <v>42</v>
      </c>
    </row>
    <row r="2398" spans="8:8" x14ac:dyDescent="0.35">
      <c r="H2398" s="36" t="s">
        <v>42</v>
      </c>
    </row>
    <row r="2399" spans="8:8" x14ac:dyDescent="0.35">
      <c r="H2399" s="36" t="s">
        <v>42</v>
      </c>
    </row>
    <row r="2400" spans="8:8" x14ac:dyDescent="0.35">
      <c r="H2400" s="36" t="s">
        <v>42</v>
      </c>
    </row>
    <row r="2401" spans="8:8" x14ac:dyDescent="0.35">
      <c r="H2401" s="36" t="s">
        <v>42</v>
      </c>
    </row>
    <row r="2402" spans="8:8" x14ac:dyDescent="0.35">
      <c r="H2402" s="36" t="s">
        <v>42</v>
      </c>
    </row>
    <row r="2403" spans="8:8" x14ac:dyDescent="0.35">
      <c r="H2403" s="36" t="s">
        <v>42</v>
      </c>
    </row>
    <row r="2404" spans="8:8" x14ac:dyDescent="0.35">
      <c r="H2404" s="36" t="s">
        <v>42</v>
      </c>
    </row>
    <row r="2405" spans="8:8" x14ac:dyDescent="0.35">
      <c r="H2405" s="36" t="s">
        <v>42</v>
      </c>
    </row>
    <row r="2406" spans="8:8" x14ac:dyDescent="0.35">
      <c r="H2406" s="36" t="s">
        <v>42</v>
      </c>
    </row>
    <row r="2407" spans="8:8" x14ac:dyDescent="0.35">
      <c r="H2407" s="36" t="s">
        <v>42</v>
      </c>
    </row>
    <row r="2408" spans="8:8" x14ac:dyDescent="0.35">
      <c r="H2408" s="36" t="s">
        <v>42</v>
      </c>
    </row>
    <row r="2409" spans="8:8" x14ac:dyDescent="0.35">
      <c r="H2409" s="36" t="s">
        <v>42</v>
      </c>
    </row>
    <row r="2410" spans="8:8" x14ac:dyDescent="0.35">
      <c r="H2410" s="36" t="s">
        <v>42</v>
      </c>
    </row>
    <row r="2411" spans="8:8" x14ac:dyDescent="0.35">
      <c r="H2411" s="36" t="s">
        <v>42</v>
      </c>
    </row>
    <row r="2412" spans="8:8" x14ac:dyDescent="0.35">
      <c r="H2412" s="36" t="s">
        <v>42</v>
      </c>
    </row>
    <row r="2413" spans="8:8" x14ac:dyDescent="0.35">
      <c r="H2413" s="36" t="s">
        <v>42</v>
      </c>
    </row>
    <row r="2414" spans="8:8" x14ac:dyDescent="0.35">
      <c r="H2414" s="36" t="s">
        <v>42</v>
      </c>
    </row>
    <row r="2415" spans="8:8" x14ac:dyDescent="0.35">
      <c r="H2415" s="36" t="s">
        <v>42</v>
      </c>
    </row>
    <row r="2416" spans="8:8" x14ac:dyDescent="0.35">
      <c r="H2416" s="36" t="s">
        <v>42</v>
      </c>
    </row>
    <row r="2417" spans="8:8" x14ac:dyDescent="0.35">
      <c r="H2417" s="36" t="s">
        <v>42</v>
      </c>
    </row>
    <row r="2418" spans="8:8" x14ac:dyDescent="0.35">
      <c r="H2418" s="36" t="s">
        <v>42</v>
      </c>
    </row>
    <row r="2419" spans="8:8" x14ac:dyDescent="0.35">
      <c r="H2419" s="36" t="s">
        <v>42</v>
      </c>
    </row>
    <row r="2420" spans="8:8" x14ac:dyDescent="0.35">
      <c r="H2420" s="36" t="s">
        <v>42</v>
      </c>
    </row>
    <row r="2421" spans="8:8" x14ac:dyDescent="0.35">
      <c r="H2421" s="36" t="s">
        <v>42</v>
      </c>
    </row>
    <row r="2422" spans="8:8" x14ac:dyDescent="0.35">
      <c r="H2422" s="36" t="s">
        <v>42</v>
      </c>
    </row>
    <row r="2423" spans="8:8" x14ac:dyDescent="0.35">
      <c r="H2423" s="36" t="s">
        <v>42</v>
      </c>
    </row>
    <row r="2424" spans="8:8" x14ac:dyDescent="0.35">
      <c r="H2424" s="36" t="s">
        <v>42</v>
      </c>
    </row>
    <row r="2425" spans="8:8" x14ac:dyDescent="0.35">
      <c r="H2425" s="36" t="s">
        <v>42</v>
      </c>
    </row>
    <row r="2426" spans="8:8" x14ac:dyDescent="0.35">
      <c r="H2426" s="36" t="s">
        <v>42</v>
      </c>
    </row>
    <row r="2427" spans="8:8" x14ac:dyDescent="0.35">
      <c r="H2427" s="36" t="s">
        <v>42</v>
      </c>
    </row>
    <row r="2428" spans="8:8" x14ac:dyDescent="0.35">
      <c r="H2428" s="36" t="s">
        <v>42</v>
      </c>
    </row>
    <row r="2429" spans="8:8" x14ac:dyDescent="0.35">
      <c r="H2429" s="36" t="s">
        <v>42</v>
      </c>
    </row>
    <row r="2430" spans="8:8" x14ac:dyDescent="0.35">
      <c r="H2430" s="36" t="s">
        <v>42</v>
      </c>
    </row>
    <row r="2431" spans="8:8" x14ac:dyDescent="0.35">
      <c r="H2431" s="36" t="s">
        <v>42</v>
      </c>
    </row>
    <row r="2432" spans="8:8" x14ac:dyDescent="0.35">
      <c r="H2432" s="36" t="s">
        <v>42</v>
      </c>
    </row>
    <row r="2433" spans="8:8" x14ac:dyDescent="0.35">
      <c r="H2433" s="36" t="s">
        <v>42</v>
      </c>
    </row>
    <row r="2434" spans="8:8" x14ac:dyDescent="0.35">
      <c r="H2434" s="36" t="s">
        <v>42</v>
      </c>
    </row>
    <row r="2435" spans="8:8" x14ac:dyDescent="0.35">
      <c r="H2435" s="36" t="s">
        <v>42</v>
      </c>
    </row>
    <row r="2436" spans="8:8" x14ac:dyDescent="0.35">
      <c r="H2436" s="36" t="s">
        <v>42</v>
      </c>
    </row>
    <row r="2437" spans="8:8" x14ac:dyDescent="0.35">
      <c r="H2437" s="36" t="s">
        <v>42</v>
      </c>
    </row>
    <row r="2438" spans="8:8" x14ac:dyDescent="0.35">
      <c r="H2438" s="36" t="s">
        <v>42</v>
      </c>
    </row>
    <row r="2439" spans="8:8" x14ac:dyDescent="0.35">
      <c r="H2439" s="36" t="s">
        <v>42</v>
      </c>
    </row>
    <row r="2440" spans="8:8" x14ac:dyDescent="0.35">
      <c r="H2440" s="36" t="s">
        <v>42</v>
      </c>
    </row>
    <row r="2441" spans="8:8" x14ac:dyDescent="0.35">
      <c r="H2441" s="36" t="s">
        <v>42</v>
      </c>
    </row>
    <row r="2442" spans="8:8" x14ac:dyDescent="0.35">
      <c r="H2442" s="36" t="s">
        <v>42</v>
      </c>
    </row>
    <row r="2443" spans="8:8" x14ac:dyDescent="0.35">
      <c r="H2443" s="36" t="s">
        <v>42</v>
      </c>
    </row>
    <row r="2444" spans="8:8" x14ac:dyDescent="0.35">
      <c r="H2444" s="36" t="s">
        <v>42</v>
      </c>
    </row>
    <row r="2445" spans="8:8" x14ac:dyDescent="0.35">
      <c r="H2445" s="36" t="s">
        <v>42</v>
      </c>
    </row>
    <row r="2446" spans="8:8" x14ac:dyDescent="0.35">
      <c r="H2446" s="36" t="s">
        <v>42</v>
      </c>
    </row>
    <row r="2447" spans="8:8" x14ac:dyDescent="0.35">
      <c r="H2447" s="36" t="s">
        <v>42</v>
      </c>
    </row>
    <row r="2448" spans="8:8" x14ac:dyDescent="0.35">
      <c r="H2448" s="36" t="s">
        <v>42</v>
      </c>
    </row>
    <row r="2449" spans="8:8" x14ac:dyDescent="0.35">
      <c r="H2449" s="36" t="s">
        <v>42</v>
      </c>
    </row>
    <row r="2450" spans="8:8" x14ac:dyDescent="0.35">
      <c r="H2450" s="36" t="s">
        <v>42</v>
      </c>
    </row>
    <row r="2451" spans="8:8" x14ac:dyDescent="0.35">
      <c r="H2451" s="36" t="s">
        <v>42</v>
      </c>
    </row>
    <row r="2452" spans="8:8" x14ac:dyDescent="0.35">
      <c r="H2452" s="36" t="s">
        <v>42</v>
      </c>
    </row>
    <row r="2453" spans="8:8" x14ac:dyDescent="0.35">
      <c r="H2453" s="36" t="s">
        <v>42</v>
      </c>
    </row>
    <row r="2454" spans="8:8" x14ac:dyDescent="0.35">
      <c r="H2454" s="36" t="s">
        <v>42</v>
      </c>
    </row>
    <row r="2455" spans="8:8" x14ac:dyDescent="0.35">
      <c r="H2455" s="36" t="s">
        <v>42</v>
      </c>
    </row>
    <row r="2456" spans="8:8" x14ac:dyDescent="0.35">
      <c r="H2456" s="36" t="s">
        <v>42</v>
      </c>
    </row>
    <row r="2457" spans="8:8" x14ac:dyDescent="0.35">
      <c r="H2457" s="36" t="s">
        <v>42</v>
      </c>
    </row>
    <row r="2458" spans="8:8" x14ac:dyDescent="0.35">
      <c r="H2458" s="36" t="s">
        <v>42</v>
      </c>
    </row>
    <row r="2459" spans="8:8" x14ac:dyDescent="0.35">
      <c r="H2459" s="36" t="s">
        <v>42</v>
      </c>
    </row>
    <row r="2460" spans="8:8" x14ac:dyDescent="0.35">
      <c r="H2460" s="36" t="s">
        <v>42</v>
      </c>
    </row>
    <row r="2461" spans="8:8" x14ac:dyDescent="0.35">
      <c r="H2461" s="36" t="s">
        <v>42</v>
      </c>
    </row>
    <row r="2462" spans="8:8" x14ac:dyDescent="0.35">
      <c r="H2462" s="36" t="s">
        <v>42</v>
      </c>
    </row>
    <row r="2463" spans="8:8" x14ac:dyDescent="0.35">
      <c r="H2463" s="36" t="s">
        <v>42</v>
      </c>
    </row>
    <row r="2464" spans="8:8" x14ac:dyDescent="0.35">
      <c r="H2464" s="36" t="s">
        <v>42</v>
      </c>
    </row>
    <row r="2465" spans="8:8" x14ac:dyDescent="0.35">
      <c r="H2465" s="36" t="s">
        <v>42</v>
      </c>
    </row>
    <row r="2466" spans="8:8" x14ac:dyDescent="0.35">
      <c r="H2466" s="36" t="s">
        <v>42</v>
      </c>
    </row>
    <row r="2467" spans="8:8" x14ac:dyDescent="0.35">
      <c r="H2467" s="36" t="s">
        <v>42</v>
      </c>
    </row>
    <row r="2468" spans="8:8" x14ac:dyDescent="0.35">
      <c r="H2468" s="36" t="s">
        <v>42</v>
      </c>
    </row>
    <row r="2469" spans="8:8" x14ac:dyDescent="0.35">
      <c r="H2469" s="36" t="s">
        <v>42</v>
      </c>
    </row>
    <row r="2470" spans="8:8" x14ac:dyDescent="0.35">
      <c r="H2470" s="36" t="s">
        <v>42</v>
      </c>
    </row>
    <row r="2471" spans="8:8" x14ac:dyDescent="0.35">
      <c r="H2471" s="36" t="s">
        <v>42</v>
      </c>
    </row>
    <row r="2472" spans="8:8" x14ac:dyDescent="0.35">
      <c r="H2472" s="36" t="s">
        <v>42</v>
      </c>
    </row>
    <row r="2473" spans="8:8" x14ac:dyDescent="0.35">
      <c r="H2473" s="36" t="s">
        <v>42</v>
      </c>
    </row>
    <row r="2474" spans="8:8" x14ac:dyDescent="0.35">
      <c r="H2474" s="36" t="s">
        <v>42</v>
      </c>
    </row>
    <row r="2475" spans="8:8" x14ac:dyDescent="0.35">
      <c r="H2475" s="36" t="s">
        <v>42</v>
      </c>
    </row>
    <row r="2476" spans="8:8" x14ac:dyDescent="0.35">
      <c r="H2476" s="36" t="s">
        <v>42</v>
      </c>
    </row>
    <row r="2477" spans="8:8" x14ac:dyDescent="0.35">
      <c r="H2477" s="36" t="s">
        <v>42</v>
      </c>
    </row>
    <row r="2478" spans="8:8" x14ac:dyDescent="0.35">
      <c r="H2478" s="36" t="s">
        <v>42</v>
      </c>
    </row>
    <row r="2479" spans="8:8" x14ac:dyDescent="0.35">
      <c r="H2479" s="36" t="s">
        <v>42</v>
      </c>
    </row>
    <row r="2480" spans="8:8" x14ac:dyDescent="0.35">
      <c r="H2480" s="36" t="s">
        <v>42</v>
      </c>
    </row>
    <row r="2481" spans="8:8" x14ac:dyDescent="0.35">
      <c r="H2481" s="36" t="s">
        <v>42</v>
      </c>
    </row>
    <row r="2482" spans="8:8" x14ac:dyDescent="0.35">
      <c r="H2482" s="36" t="s">
        <v>42</v>
      </c>
    </row>
    <row r="2483" spans="8:8" x14ac:dyDescent="0.35">
      <c r="H2483" s="36" t="s">
        <v>42</v>
      </c>
    </row>
    <row r="2484" spans="8:8" x14ac:dyDescent="0.35">
      <c r="H2484" s="36" t="s">
        <v>42</v>
      </c>
    </row>
    <row r="2485" spans="8:8" x14ac:dyDescent="0.35">
      <c r="H2485" s="36" t="s">
        <v>42</v>
      </c>
    </row>
    <row r="2486" spans="8:8" x14ac:dyDescent="0.35">
      <c r="H2486" s="36" t="s">
        <v>42</v>
      </c>
    </row>
    <row r="2487" spans="8:8" x14ac:dyDescent="0.35">
      <c r="H2487" s="36" t="s">
        <v>42</v>
      </c>
    </row>
    <row r="2488" spans="8:8" x14ac:dyDescent="0.35">
      <c r="H2488" s="36" t="s">
        <v>42</v>
      </c>
    </row>
    <row r="2489" spans="8:8" x14ac:dyDescent="0.35">
      <c r="H2489" s="36" t="s">
        <v>42</v>
      </c>
    </row>
    <row r="2490" spans="8:8" x14ac:dyDescent="0.35">
      <c r="H2490" s="36" t="s">
        <v>42</v>
      </c>
    </row>
    <row r="2491" spans="8:8" x14ac:dyDescent="0.35">
      <c r="H2491" s="36" t="s">
        <v>42</v>
      </c>
    </row>
    <row r="2492" spans="8:8" x14ac:dyDescent="0.35">
      <c r="H2492" s="36" t="s">
        <v>42</v>
      </c>
    </row>
    <row r="2493" spans="8:8" x14ac:dyDescent="0.35">
      <c r="H2493" s="36" t="s">
        <v>42</v>
      </c>
    </row>
    <row r="2494" spans="8:8" x14ac:dyDescent="0.35">
      <c r="H2494" s="36" t="s">
        <v>42</v>
      </c>
    </row>
    <row r="2495" spans="8:8" x14ac:dyDescent="0.35">
      <c r="H2495" s="36" t="s">
        <v>42</v>
      </c>
    </row>
    <row r="2496" spans="8:8" x14ac:dyDescent="0.35">
      <c r="H2496" s="36" t="s">
        <v>42</v>
      </c>
    </row>
    <row r="2497" spans="8:8" x14ac:dyDescent="0.35">
      <c r="H2497" s="36" t="s">
        <v>42</v>
      </c>
    </row>
    <row r="2498" spans="8:8" x14ac:dyDescent="0.35">
      <c r="H2498" s="36" t="s">
        <v>42</v>
      </c>
    </row>
    <row r="2499" spans="8:8" x14ac:dyDescent="0.35">
      <c r="H2499" s="36" t="s">
        <v>42</v>
      </c>
    </row>
    <row r="2500" spans="8:8" x14ac:dyDescent="0.35">
      <c r="H2500" s="36" t="s">
        <v>42</v>
      </c>
    </row>
    <row r="2501" spans="8:8" x14ac:dyDescent="0.35">
      <c r="H2501" s="36" t="s">
        <v>42</v>
      </c>
    </row>
    <row r="2502" spans="8:8" x14ac:dyDescent="0.35">
      <c r="H2502" s="36" t="s">
        <v>42</v>
      </c>
    </row>
    <row r="2503" spans="8:8" x14ac:dyDescent="0.35">
      <c r="H2503" s="36" t="s">
        <v>42</v>
      </c>
    </row>
    <row r="2504" spans="8:8" x14ac:dyDescent="0.35">
      <c r="H2504" s="36" t="s">
        <v>42</v>
      </c>
    </row>
    <row r="2505" spans="8:8" x14ac:dyDescent="0.35">
      <c r="H2505" s="36" t="s">
        <v>42</v>
      </c>
    </row>
    <row r="2506" spans="8:8" x14ac:dyDescent="0.35">
      <c r="H2506" s="36" t="s">
        <v>42</v>
      </c>
    </row>
    <row r="2507" spans="8:8" x14ac:dyDescent="0.35">
      <c r="H2507" s="36" t="s">
        <v>42</v>
      </c>
    </row>
    <row r="2508" spans="8:8" x14ac:dyDescent="0.35">
      <c r="H2508" s="36" t="s">
        <v>42</v>
      </c>
    </row>
    <row r="2509" spans="8:8" x14ac:dyDescent="0.35">
      <c r="H2509" s="36" t="s">
        <v>42</v>
      </c>
    </row>
    <row r="2510" spans="8:8" x14ac:dyDescent="0.35">
      <c r="H2510" s="36" t="s">
        <v>42</v>
      </c>
    </row>
    <row r="2511" spans="8:8" x14ac:dyDescent="0.35">
      <c r="H2511" s="36" t="s">
        <v>42</v>
      </c>
    </row>
    <row r="2512" spans="8:8" x14ac:dyDescent="0.35">
      <c r="H2512" s="36" t="s">
        <v>42</v>
      </c>
    </row>
    <row r="2513" spans="8:8" x14ac:dyDescent="0.35">
      <c r="H2513" s="36" t="s">
        <v>42</v>
      </c>
    </row>
    <row r="2514" spans="8:8" x14ac:dyDescent="0.35">
      <c r="H2514" s="36" t="s">
        <v>42</v>
      </c>
    </row>
    <row r="2515" spans="8:8" x14ac:dyDescent="0.35">
      <c r="H2515" s="36" t="s">
        <v>42</v>
      </c>
    </row>
    <row r="2516" spans="8:8" x14ac:dyDescent="0.35">
      <c r="H2516" s="36" t="s">
        <v>42</v>
      </c>
    </row>
    <row r="2517" spans="8:8" x14ac:dyDescent="0.35">
      <c r="H2517" s="36" t="s">
        <v>42</v>
      </c>
    </row>
    <row r="2518" spans="8:8" x14ac:dyDescent="0.35">
      <c r="H2518" s="36" t="s">
        <v>42</v>
      </c>
    </row>
    <row r="2519" spans="8:8" x14ac:dyDescent="0.35">
      <c r="H2519" s="36" t="s">
        <v>42</v>
      </c>
    </row>
    <row r="2520" spans="8:8" x14ac:dyDescent="0.35">
      <c r="H2520" s="36" t="s">
        <v>42</v>
      </c>
    </row>
    <row r="2521" spans="8:8" x14ac:dyDescent="0.35">
      <c r="H2521" s="36" t="s">
        <v>42</v>
      </c>
    </row>
    <row r="2522" spans="8:8" x14ac:dyDescent="0.35">
      <c r="H2522" s="36" t="s">
        <v>42</v>
      </c>
    </row>
    <row r="2523" spans="8:8" x14ac:dyDescent="0.35">
      <c r="H2523" s="36" t="s">
        <v>42</v>
      </c>
    </row>
    <row r="2524" spans="8:8" x14ac:dyDescent="0.35">
      <c r="H2524" s="36" t="s">
        <v>42</v>
      </c>
    </row>
    <row r="2525" spans="8:8" x14ac:dyDescent="0.35">
      <c r="H2525" s="36" t="s">
        <v>42</v>
      </c>
    </row>
    <row r="2526" spans="8:8" x14ac:dyDescent="0.35">
      <c r="H2526" s="36" t="s">
        <v>42</v>
      </c>
    </row>
    <row r="2527" spans="8:8" x14ac:dyDescent="0.35">
      <c r="H2527" s="36" t="s">
        <v>42</v>
      </c>
    </row>
    <row r="2528" spans="8:8" x14ac:dyDescent="0.35">
      <c r="H2528" s="36" t="s">
        <v>42</v>
      </c>
    </row>
    <row r="2529" spans="8:8" x14ac:dyDescent="0.35">
      <c r="H2529" s="36" t="s">
        <v>42</v>
      </c>
    </row>
    <row r="2530" spans="8:8" x14ac:dyDescent="0.35">
      <c r="H2530" s="36" t="s">
        <v>42</v>
      </c>
    </row>
    <row r="2531" spans="8:8" x14ac:dyDescent="0.35">
      <c r="H2531" s="36" t="s">
        <v>42</v>
      </c>
    </row>
    <row r="2532" spans="8:8" x14ac:dyDescent="0.35">
      <c r="H2532" s="36" t="s">
        <v>42</v>
      </c>
    </row>
    <row r="2533" spans="8:8" x14ac:dyDescent="0.35">
      <c r="H2533" s="36" t="s">
        <v>42</v>
      </c>
    </row>
    <row r="2534" spans="8:8" x14ac:dyDescent="0.35">
      <c r="H2534" s="36" t="s">
        <v>42</v>
      </c>
    </row>
    <row r="2535" spans="8:8" x14ac:dyDescent="0.35">
      <c r="H2535" s="36" t="s">
        <v>42</v>
      </c>
    </row>
    <row r="2536" spans="8:8" x14ac:dyDescent="0.35">
      <c r="H2536" s="36" t="s">
        <v>42</v>
      </c>
    </row>
    <row r="2537" spans="8:8" x14ac:dyDescent="0.35">
      <c r="H2537" s="36" t="s">
        <v>42</v>
      </c>
    </row>
    <row r="2538" spans="8:8" x14ac:dyDescent="0.35">
      <c r="H2538" s="36" t="s">
        <v>42</v>
      </c>
    </row>
    <row r="2539" spans="8:8" x14ac:dyDescent="0.35">
      <c r="H2539" s="36" t="s">
        <v>42</v>
      </c>
    </row>
    <row r="2540" spans="8:8" x14ac:dyDescent="0.35">
      <c r="H2540" s="36" t="s">
        <v>42</v>
      </c>
    </row>
    <row r="2541" spans="8:8" x14ac:dyDescent="0.35">
      <c r="H2541" s="36" t="s">
        <v>42</v>
      </c>
    </row>
    <row r="2542" spans="8:8" x14ac:dyDescent="0.35">
      <c r="H2542" s="36" t="s">
        <v>42</v>
      </c>
    </row>
    <row r="2543" spans="8:8" x14ac:dyDescent="0.35">
      <c r="H2543" s="36" t="s">
        <v>42</v>
      </c>
    </row>
    <row r="2544" spans="8:8" x14ac:dyDescent="0.35">
      <c r="H2544" s="36" t="s">
        <v>42</v>
      </c>
    </row>
    <row r="2545" spans="8:8" x14ac:dyDescent="0.35">
      <c r="H2545" s="36" t="s">
        <v>42</v>
      </c>
    </row>
    <row r="2546" spans="8:8" x14ac:dyDescent="0.35">
      <c r="H2546" s="36" t="s">
        <v>42</v>
      </c>
    </row>
    <row r="2547" spans="8:8" x14ac:dyDescent="0.35">
      <c r="H2547" s="36" t="s">
        <v>42</v>
      </c>
    </row>
    <row r="2548" spans="8:8" x14ac:dyDescent="0.35">
      <c r="H2548" s="36" t="s">
        <v>42</v>
      </c>
    </row>
    <row r="2549" spans="8:8" x14ac:dyDescent="0.35">
      <c r="H2549" s="36" t="s">
        <v>42</v>
      </c>
    </row>
    <row r="2550" spans="8:8" x14ac:dyDescent="0.35">
      <c r="H2550" s="36" t="s">
        <v>42</v>
      </c>
    </row>
    <row r="2551" spans="8:8" x14ac:dyDescent="0.35">
      <c r="H2551" s="36" t="s">
        <v>42</v>
      </c>
    </row>
    <row r="2552" spans="8:8" x14ac:dyDescent="0.35">
      <c r="H2552" s="36" t="s">
        <v>42</v>
      </c>
    </row>
    <row r="2553" spans="8:8" x14ac:dyDescent="0.35">
      <c r="H2553" s="36" t="s">
        <v>42</v>
      </c>
    </row>
    <row r="2554" spans="8:8" x14ac:dyDescent="0.35">
      <c r="H2554" s="36" t="s">
        <v>42</v>
      </c>
    </row>
    <row r="2555" spans="8:8" x14ac:dyDescent="0.35">
      <c r="H2555" s="36" t="s">
        <v>42</v>
      </c>
    </row>
    <row r="2556" spans="8:8" x14ac:dyDescent="0.35">
      <c r="H2556" s="36" t="s">
        <v>42</v>
      </c>
    </row>
    <row r="2557" spans="8:8" x14ac:dyDescent="0.35">
      <c r="H2557" s="36" t="s">
        <v>42</v>
      </c>
    </row>
    <row r="2558" spans="8:8" x14ac:dyDescent="0.35">
      <c r="H2558" s="36" t="s">
        <v>42</v>
      </c>
    </row>
    <row r="2559" spans="8:8" x14ac:dyDescent="0.35">
      <c r="H2559" s="36" t="s">
        <v>42</v>
      </c>
    </row>
    <row r="2560" spans="8:8" x14ac:dyDescent="0.35">
      <c r="H2560" s="36" t="s">
        <v>42</v>
      </c>
    </row>
    <row r="2561" spans="8:8" x14ac:dyDescent="0.35">
      <c r="H2561" s="36" t="s">
        <v>42</v>
      </c>
    </row>
    <row r="2562" spans="8:8" x14ac:dyDescent="0.35">
      <c r="H2562" s="36" t="s">
        <v>42</v>
      </c>
    </row>
    <row r="2563" spans="8:8" x14ac:dyDescent="0.35">
      <c r="H2563" s="36" t="s">
        <v>42</v>
      </c>
    </row>
    <row r="2564" spans="8:8" x14ac:dyDescent="0.35">
      <c r="H2564" s="36" t="s">
        <v>42</v>
      </c>
    </row>
    <row r="2565" spans="8:8" x14ac:dyDescent="0.35">
      <c r="H2565" s="36" t="s">
        <v>42</v>
      </c>
    </row>
    <row r="2566" spans="8:8" x14ac:dyDescent="0.35">
      <c r="H2566" s="36" t="s">
        <v>42</v>
      </c>
    </row>
    <row r="2567" spans="8:8" x14ac:dyDescent="0.35">
      <c r="H2567" s="36" t="s">
        <v>42</v>
      </c>
    </row>
    <row r="2568" spans="8:8" x14ac:dyDescent="0.35">
      <c r="H2568" s="36" t="s">
        <v>42</v>
      </c>
    </row>
    <row r="2569" spans="8:8" x14ac:dyDescent="0.35">
      <c r="H2569" s="36" t="s">
        <v>42</v>
      </c>
    </row>
    <row r="2570" spans="8:8" x14ac:dyDescent="0.35">
      <c r="H2570" s="36" t="s">
        <v>42</v>
      </c>
    </row>
    <row r="2571" spans="8:8" x14ac:dyDescent="0.35">
      <c r="H2571" s="36" t="s">
        <v>42</v>
      </c>
    </row>
    <row r="2572" spans="8:8" x14ac:dyDescent="0.35">
      <c r="H2572" s="36" t="s">
        <v>42</v>
      </c>
    </row>
    <row r="2573" spans="8:8" x14ac:dyDescent="0.35">
      <c r="H2573" s="36" t="s">
        <v>42</v>
      </c>
    </row>
    <row r="2574" spans="8:8" x14ac:dyDescent="0.35">
      <c r="H2574" s="36" t="s">
        <v>42</v>
      </c>
    </row>
    <row r="2575" spans="8:8" x14ac:dyDescent="0.35">
      <c r="H2575" s="36" t="s">
        <v>42</v>
      </c>
    </row>
    <row r="2576" spans="8:8" x14ac:dyDescent="0.35">
      <c r="H2576" s="36" t="s">
        <v>42</v>
      </c>
    </row>
    <row r="2577" spans="8:8" x14ac:dyDescent="0.35">
      <c r="H2577" s="36" t="s">
        <v>42</v>
      </c>
    </row>
    <row r="2578" spans="8:8" x14ac:dyDescent="0.35">
      <c r="H2578" s="36" t="s">
        <v>42</v>
      </c>
    </row>
    <row r="2579" spans="8:8" x14ac:dyDescent="0.35">
      <c r="H2579" s="36" t="s">
        <v>42</v>
      </c>
    </row>
    <row r="2580" spans="8:8" x14ac:dyDescent="0.35">
      <c r="H2580" s="36" t="s">
        <v>42</v>
      </c>
    </row>
    <row r="2581" spans="8:8" x14ac:dyDescent="0.35">
      <c r="H2581" s="36" t="s">
        <v>42</v>
      </c>
    </row>
    <row r="2582" spans="8:8" x14ac:dyDescent="0.35">
      <c r="H2582" s="36" t="s">
        <v>42</v>
      </c>
    </row>
    <row r="2583" spans="8:8" x14ac:dyDescent="0.35">
      <c r="H2583" s="36" t="s">
        <v>42</v>
      </c>
    </row>
    <row r="2584" spans="8:8" x14ac:dyDescent="0.35">
      <c r="H2584" s="36" t="s">
        <v>42</v>
      </c>
    </row>
    <row r="2585" spans="8:8" x14ac:dyDescent="0.35">
      <c r="H2585" s="36" t="s">
        <v>42</v>
      </c>
    </row>
    <row r="2586" spans="8:8" x14ac:dyDescent="0.35">
      <c r="H2586" s="36" t="s">
        <v>42</v>
      </c>
    </row>
    <row r="2587" spans="8:8" x14ac:dyDescent="0.35">
      <c r="H2587" s="36" t="s">
        <v>42</v>
      </c>
    </row>
    <row r="2588" spans="8:8" x14ac:dyDescent="0.35">
      <c r="H2588" s="36" t="s">
        <v>42</v>
      </c>
    </row>
    <row r="2589" spans="8:8" x14ac:dyDescent="0.35">
      <c r="H2589" s="36" t="s">
        <v>42</v>
      </c>
    </row>
    <row r="2590" spans="8:8" x14ac:dyDescent="0.35">
      <c r="H2590" s="36" t="s">
        <v>42</v>
      </c>
    </row>
    <row r="2591" spans="8:8" x14ac:dyDescent="0.35">
      <c r="H2591" s="36" t="s">
        <v>42</v>
      </c>
    </row>
    <row r="2592" spans="8:8" x14ac:dyDescent="0.35">
      <c r="H2592" s="36" t="s">
        <v>42</v>
      </c>
    </row>
    <row r="2593" spans="8:8" x14ac:dyDescent="0.35">
      <c r="H2593" s="36" t="s">
        <v>42</v>
      </c>
    </row>
    <row r="2594" spans="8:8" x14ac:dyDescent="0.35">
      <c r="H2594" s="36" t="s">
        <v>42</v>
      </c>
    </row>
    <row r="2595" spans="8:8" x14ac:dyDescent="0.35">
      <c r="H2595" s="36" t="s">
        <v>42</v>
      </c>
    </row>
    <row r="2596" spans="8:8" x14ac:dyDescent="0.35">
      <c r="H2596" s="36" t="s">
        <v>42</v>
      </c>
    </row>
    <row r="2597" spans="8:8" x14ac:dyDescent="0.35">
      <c r="H2597" s="36" t="s">
        <v>42</v>
      </c>
    </row>
    <row r="2598" spans="8:8" x14ac:dyDescent="0.35">
      <c r="H2598" s="36" t="s">
        <v>42</v>
      </c>
    </row>
    <row r="2599" spans="8:8" x14ac:dyDescent="0.35">
      <c r="H2599" s="36" t="s">
        <v>42</v>
      </c>
    </row>
    <row r="2600" spans="8:8" x14ac:dyDescent="0.35">
      <c r="H2600" s="36" t="s">
        <v>42</v>
      </c>
    </row>
    <row r="2601" spans="8:8" x14ac:dyDescent="0.35">
      <c r="H2601" s="36" t="s">
        <v>42</v>
      </c>
    </row>
    <row r="2602" spans="8:8" x14ac:dyDescent="0.35">
      <c r="H2602" s="36" t="s">
        <v>42</v>
      </c>
    </row>
    <row r="2603" spans="8:8" x14ac:dyDescent="0.35">
      <c r="H2603" s="36" t="s">
        <v>42</v>
      </c>
    </row>
    <row r="2604" spans="8:8" x14ac:dyDescent="0.35">
      <c r="H2604" s="36" t="s">
        <v>42</v>
      </c>
    </row>
    <row r="2605" spans="8:8" x14ac:dyDescent="0.35">
      <c r="H2605" s="36" t="s">
        <v>42</v>
      </c>
    </row>
    <row r="2606" spans="8:8" x14ac:dyDescent="0.35">
      <c r="H2606" s="36" t="s">
        <v>42</v>
      </c>
    </row>
    <row r="2607" spans="8:8" x14ac:dyDescent="0.35">
      <c r="H2607" s="36" t="s">
        <v>42</v>
      </c>
    </row>
    <row r="2608" spans="8:8" x14ac:dyDescent="0.35">
      <c r="H2608" s="36" t="s">
        <v>42</v>
      </c>
    </row>
    <row r="2609" spans="8:8" x14ac:dyDescent="0.35">
      <c r="H2609" s="36" t="s">
        <v>42</v>
      </c>
    </row>
    <row r="2610" spans="8:8" x14ac:dyDescent="0.35">
      <c r="H2610" s="36" t="s">
        <v>42</v>
      </c>
    </row>
    <row r="2611" spans="8:8" x14ac:dyDescent="0.35">
      <c r="H2611" s="36" t="s">
        <v>42</v>
      </c>
    </row>
    <row r="2612" spans="8:8" x14ac:dyDescent="0.35">
      <c r="H2612" s="36" t="s">
        <v>42</v>
      </c>
    </row>
    <row r="2613" spans="8:8" x14ac:dyDescent="0.35">
      <c r="H2613" s="36" t="s">
        <v>42</v>
      </c>
    </row>
    <row r="2614" spans="8:8" x14ac:dyDescent="0.35">
      <c r="H2614" s="36" t="s">
        <v>42</v>
      </c>
    </row>
    <row r="2615" spans="8:8" x14ac:dyDescent="0.35">
      <c r="H2615" s="36" t="s">
        <v>42</v>
      </c>
    </row>
    <row r="2616" spans="8:8" x14ac:dyDescent="0.35">
      <c r="H2616" s="36" t="s">
        <v>42</v>
      </c>
    </row>
    <row r="2617" spans="8:8" x14ac:dyDescent="0.35">
      <c r="H2617" s="36" t="s">
        <v>42</v>
      </c>
    </row>
    <row r="2618" spans="8:8" x14ac:dyDescent="0.35">
      <c r="H2618" s="36" t="s">
        <v>42</v>
      </c>
    </row>
    <row r="2619" spans="8:8" x14ac:dyDescent="0.35">
      <c r="H2619" s="36" t="s">
        <v>42</v>
      </c>
    </row>
    <row r="2620" spans="8:8" x14ac:dyDescent="0.35">
      <c r="H2620" s="36" t="s">
        <v>42</v>
      </c>
    </row>
    <row r="2621" spans="8:8" x14ac:dyDescent="0.35">
      <c r="H2621" s="36" t="s">
        <v>42</v>
      </c>
    </row>
    <row r="2622" spans="8:8" x14ac:dyDescent="0.35">
      <c r="H2622" s="36" t="s">
        <v>42</v>
      </c>
    </row>
    <row r="2623" spans="8:8" x14ac:dyDescent="0.35">
      <c r="H2623" s="36" t="s">
        <v>42</v>
      </c>
    </row>
    <row r="2624" spans="8:8" x14ac:dyDescent="0.35">
      <c r="H2624" s="36" t="s">
        <v>42</v>
      </c>
    </row>
    <row r="2625" spans="8:8" x14ac:dyDescent="0.35">
      <c r="H2625" s="36" t="s">
        <v>42</v>
      </c>
    </row>
    <row r="2626" spans="8:8" x14ac:dyDescent="0.35">
      <c r="H2626" s="36" t="s">
        <v>42</v>
      </c>
    </row>
    <row r="2627" spans="8:8" x14ac:dyDescent="0.35">
      <c r="H2627" s="36" t="s">
        <v>42</v>
      </c>
    </row>
    <row r="2628" spans="8:8" x14ac:dyDescent="0.35">
      <c r="H2628" s="36" t="s">
        <v>42</v>
      </c>
    </row>
    <row r="2629" spans="8:8" x14ac:dyDescent="0.35">
      <c r="H2629" s="36" t="s">
        <v>42</v>
      </c>
    </row>
    <row r="2630" spans="8:8" x14ac:dyDescent="0.35">
      <c r="H2630" s="36" t="s">
        <v>42</v>
      </c>
    </row>
    <row r="2631" spans="8:8" x14ac:dyDescent="0.35">
      <c r="H2631" s="36" t="s">
        <v>42</v>
      </c>
    </row>
    <row r="2632" spans="8:8" x14ac:dyDescent="0.35">
      <c r="H2632" s="36" t="s">
        <v>42</v>
      </c>
    </row>
    <row r="2633" spans="8:8" x14ac:dyDescent="0.35">
      <c r="H2633" s="36" t="s">
        <v>42</v>
      </c>
    </row>
    <row r="2634" spans="8:8" x14ac:dyDescent="0.35">
      <c r="H2634" s="36" t="s">
        <v>42</v>
      </c>
    </row>
    <row r="2635" spans="8:8" x14ac:dyDescent="0.35">
      <c r="H2635" s="36" t="s">
        <v>42</v>
      </c>
    </row>
    <row r="2636" spans="8:8" x14ac:dyDescent="0.35">
      <c r="H2636" s="36" t="s">
        <v>42</v>
      </c>
    </row>
    <row r="2637" spans="8:8" x14ac:dyDescent="0.35">
      <c r="H2637" s="36" t="s">
        <v>42</v>
      </c>
    </row>
    <row r="2638" spans="8:8" x14ac:dyDescent="0.35">
      <c r="H2638" s="36" t="s">
        <v>42</v>
      </c>
    </row>
    <row r="2639" spans="8:8" x14ac:dyDescent="0.35">
      <c r="H2639" s="36" t="s">
        <v>42</v>
      </c>
    </row>
    <row r="2640" spans="8:8" x14ac:dyDescent="0.35">
      <c r="H2640" s="36" t="s">
        <v>42</v>
      </c>
    </row>
    <row r="2641" spans="8:8" x14ac:dyDescent="0.35">
      <c r="H2641" s="36" t="s">
        <v>42</v>
      </c>
    </row>
    <row r="2642" spans="8:8" x14ac:dyDescent="0.35">
      <c r="H2642" s="36" t="s">
        <v>42</v>
      </c>
    </row>
    <row r="2643" spans="8:8" x14ac:dyDescent="0.35">
      <c r="H2643" s="36" t="s">
        <v>42</v>
      </c>
    </row>
    <row r="2644" spans="8:8" x14ac:dyDescent="0.35">
      <c r="H2644" s="36" t="s">
        <v>42</v>
      </c>
    </row>
    <row r="2645" spans="8:8" x14ac:dyDescent="0.35">
      <c r="H2645" s="36" t="s">
        <v>42</v>
      </c>
    </row>
    <row r="2646" spans="8:8" x14ac:dyDescent="0.35">
      <c r="H2646" s="36" t="s">
        <v>42</v>
      </c>
    </row>
    <row r="2647" spans="8:8" x14ac:dyDescent="0.35">
      <c r="H2647" s="36" t="s">
        <v>42</v>
      </c>
    </row>
    <row r="2648" spans="8:8" x14ac:dyDescent="0.35">
      <c r="H2648" s="36" t="s">
        <v>42</v>
      </c>
    </row>
    <row r="2649" spans="8:8" x14ac:dyDescent="0.35">
      <c r="H2649" s="36" t="s">
        <v>42</v>
      </c>
    </row>
    <row r="2650" spans="8:8" x14ac:dyDescent="0.35">
      <c r="H2650" s="36" t="s">
        <v>42</v>
      </c>
    </row>
    <row r="2651" spans="8:8" x14ac:dyDescent="0.35">
      <c r="H2651" s="36" t="s">
        <v>42</v>
      </c>
    </row>
    <row r="2652" spans="8:8" x14ac:dyDescent="0.35">
      <c r="H2652" s="36" t="s">
        <v>42</v>
      </c>
    </row>
    <row r="2653" spans="8:8" x14ac:dyDescent="0.35">
      <c r="H2653" s="36" t="s">
        <v>42</v>
      </c>
    </row>
    <row r="2654" spans="8:8" x14ac:dyDescent="0.35">
      <c r="H2654" s="36" t="s">
        <v>42</v>
      </c>
    </row>
    <row r="2655" spans="8:8" x14ac:dyDescent="0.35">
      <c r="H2655" s="36" t="s">
        <v>42</v>
      </c>
    </row>
    <row r="2656" spans="8:8" x14ac:dyDescent="0.35">
      <c r="H2656" s="36" t="s">
        <v>42</v>
      </c>
    </row>
    <row r="2657" spans="8:8" x14ac:dyDescent="0.35">
      <c r="H2657" s="36" t="s">
        <v>42</v>
      </c>
    </row>
    <row r="2658" spans="8:8" x14ac:dyDescent="0.35">
      <c r="H2658" s="36" t="s">
        <v>42</v>
      </c>
    </row>
    <row r="2659" spans="8:8" x14ac:dyDescent="0.35">
      <c r="H2659" s="36" t="s">
        <v>42</v>
      </c>
    </row>
    <row r="2660" spans="8:8" x14ac:dyDescent="0.35">
      <c r="H2660" s="36" t="s">
        <v>42</v>
      </c>
    </row>
    <row r="2661" spans="8:8" x14ac:dyDescent="0.35">
      <c r="H2661" s="36" t="s">
        <v>42</v>
      </c>
    </row>
    <row r="2662" spans="8:8" x14ac:dyDescent="0.35">
      <c r="H2662" s="36" t="s">
        <v>42</v>
      </c>
    </row>
    <row r="2663" spans="8:8" x14ac:dyDescent="0.35">
      <c r="H2663" s="36" t="s">
        <v>42</v>
      </c>
    </row>
    <row r="2664" spans="8:8" x14ac:dyDescent="0.35">
      <c r="H2664" s="36" t="s">
        <v>42</v>
      </c>
    </row>
    <row r="2665" spans="8:8" x14ac:dyDescent="0.35">
      <c r="H2665" s="36" t="s">
        <v>42</v>
      </c>
    </row>
    <row r="2666" spans="8:8" x14ac:dyDescent="0.35">
      <c r="H2666" s="36" t="s">
        <v>42</v>
      </c>
    </row>
    <row r="2667" spans="8:8" x14ac:dyDescent="0.35">
      <c r="H2667" s="36" t="s">
        <v>42</v>
      </c>
    </row>
    <row r="2668" spans="8:8" x14ac:dyDescent="0.35">
      <c r="H2668" s="36" t="s">
        <v>42</v>
      </c>
    </row>
    <row r="2669" spans="8:8" x14ac:dyDescent="0.35">
      <c r="H2669" s="36" t="s">
        <v>42</v>
      </c>
    </row>
    <row r="2670" spans="8:8" x14ac:dyDescent="0.35">
      <c r="H2670" s="36" t="s">
        <v>42</v>
      </c>
    </row>
    <row r="2671" spans="8:8" x14ac:dyDescent="0.35">
      <c r="H2671" s="36" t="s">
        <v>42</v>
      </c>
    </row>
    <row r="2672" spans="8:8" x14ac:dyDescent="0.35">
      <c r="H2672" s="36" t="s">
        <v>42</v>
      </c>
    </row>
    <row r="2673" spans="8:8" x14ac:dyDescent="0.35">
      <c r="H2673" s="36" t="s">
        <v>42</v>
      </c>
    </row>
    <row r="2674" spans="8:8" x14ac:dyDescent="0.35">
      <c r="H2674" s="36" t="s">
        <v>42</v>
      </c>
    </row>
    <row r="2675" spans="8:8" x14ac:dyDescent="0.35">
      <c r="H2675" s="36" t="s">
        <v>42</v>
      </c>
    </row>
    <row r="2676" spans="8:8" x14ac:dyDescent="0.35">
      <c r="H2676" s="36" t="s">
        <v>42</v>
      </c>
    </row>
    <row r="2677" spans="8:8" x14ac:dyDescent="0.35">
      <c r="H2677" s="36" t="s">
        <v>42</v>
      </c>
    </row>
    <row r="2678" spans="8:8" x14ac:dyDescent="0.35">
      <c r="H2678" s="36" t="s">
        <v>42</v>
      </c>
    </row>
    <row r="2679" spans="8:8" x14ac:dyDescent="0.35">
      <c r="H2679" s="36" t="s">
        <v>42</v>
      </c>
    </row>
    <row r="2680" spans="8:8" x14ac:dyDescent="0.35">
      <c r="H2680" s="36" t="s">
        <v>42</v>
      </c>
    </row>
    <row r="2681" spans="8:8" x14ac:dyDescent="0.35">
      <c r="H2681" s="36" t="s">
        <v>42</v>
      </c>
    </row>
    <row r="2682" spans="8:8" x14ac:dyDescent="0.35">
      <c r="H2682" s="36" t="s">
        <v>42</v>
      </c>
    </row>
    <row r="2683" spans="8:8" x14ac:dyDescent="0.35">
      <c r="H2683" s="36" t="s">
        <v>42</v>
      </c>
    </row>
    <row r="2684" spans="8:8" x14ac:dyDescent="0.35">
      <c r="H2684" s="36" t="s">
        <v>42</v>
      </c>
    </row>
    <row r="2685" spans="8:8" x14ac:dyDescent="0.35">
      <c r="H2685" s="36" t="s">
        <v>42</v>
      </c>
    </row>
    <row r="2686" spans="8:8" x14ac:dyDescent="0.35">
      <c r="H2686" s="36" t="s">
        <v>42</v>
      </c>
    </row>
    <row r="2687" spans="8:8" x14ac:dyDescent="0.35">
      <c r="H2687" s="36" t="s">
        <v>42</v>
      </c>
    </row>
    <row r="2688" spans="8:8" x14ac:dyDescent="0.35">
      <c r="H2688" s="36" t="s">
        <v>42</v>
      </c>
    </row>
    <row r="2689" spans="8:8" x14ac:dyDescent="0.35">
      <c r="H2689" s="36" t="s">
        <v>42</v>
      </c>
    </row>
    <row r="2690" spans="8:8" x14ac:dyDescent="0.35">
      <c r="H2690" s="36" t="s">
        <v>42</v>
      </c>
    </row>
    <row r="2691" spans="8:8" x14ac:dyDescent="0.35">
      <c r="H2691" s="36" t="s">
        <v>42</v>
      </c>
    </row>
    <row r="2692" spans="8:8" x14ac:dyDescent="0.35">
      <c r="H2692" s="36" t="s">
        <v>42</v>
      </c>
    </row>
    <row r="2693" spans="8:8" x14ac:dyDescent="0.35">
      <c r="H2693" s="36" t="s">
        <v>42</v>
      </c>
    </row>
    <row r="2694" spans="8:8" x14ac:dyDescent="0.35">
      <c r="H2694" s="36" t="s">
        <v>42</v>
      </c>
    </row>
    <row r="2695" spans="8:8" x14ac:dyDescent="0.35">
      <c r="H2695" s="36" t="s">
        <v>42</v>
      </c>
    </row>
    <row r="2696" spans="8:8" x14ac:dyDescent="0.35">
      <c r="H2696" s="36" t="s">
        <v>42</v>
      </c>
    </row>
    <row r="2697" spans="8:8" x14ac:dyDescent="0.35">
      <c r="H2697" s="36" t="s">
        <v>42</v>
      </c>
    </row>
    <row r="2698" spans="8:8" x14ac:dyDescent="0.35">
      <c r="H2698" s="36" t="s">
        <v>42</v>
      </c>
    </row>
    <row r="2699" spans="8:8" x14ac:dyDescent="0.35">
      <c r="H2699" s="36" t="s">
        <v>42</v>
      </c>
    </row>
    <row r="2700" spans="8:8" x14ac:dyDescent="0.35">
      <c r="H2700" s="36" t="s">
        <v>42</v>
      </c>
    </row>
    <row r="2701" spans="8:8" x14ac:dyDescent="0.35">
      <c r="H2701" s="36" t="s">
        <v>42</v>
      </c>
    </row>
    <row r="2702" spans="8:8" x14ac:dyDescent="0.35">
      <c r="H2702" s="36" t="s">
        <v>42</v>
      </c>
    </row>
    <row r="2703" spans="8:8" x14ac:dyDescent="0.35">
      <c r="H2703" s="36" t="s">
        <v>42</v>
      </c>
    </row>
    <row r="2704" spans="8:8" x14ac:dyDescent="0.35">
      <c r="H2704" s="36" t="s">
        <v>42</v>
      </c>
    </row>
    <row r="2705" spans="8:8" x14ac:dyDescent="0.35">
      <c r="H2705" s="36" t="s">
        <v>42</v>
      </c>
    </row>
    <row r="2706" spans="8:8" x14ac:dyDescent="0.35">
      <c r="H2706" s="36" t="s">
        <v>42</v>
      </c>
    </row>
    <row r="2707" spans="8:8" x14ac:dyDescent="0.35">
      <c r="H2707" s="36" t="s">
        <v>42</v>
      </c>
    </row>
    <row r="2708" spans="8:8" x14ac:dyDescent="0.35">
      <c r="H2708" s="36" t="s">
        <v>42</v>
      </c>
    </row>
    <row r="2709" spans="8:8" x14ac:dyDescent="0.35">
      <c r="H2709" s="36" t="s">
        <v>42</v>
      </c>
    </row>
    <row r="2710" spans="8:8" x14ac:dyDescent="0.35">
      <c r="H2710" s="36" t="s">
        <v>42</v>
      </c>
    </row>
    <row r="2711" spans="8:8" x14ac:dyDescent="0.35">
      <c r="H2711" s="36" t="s">
        <v>42</v>
      </c>
    </row>
    <row r="2712" spans="8:8" x14ac:dyDescent="0.35">
      <c r="H2712" s="36" t="s">
        <v>42</v>
      </c>
    </row>
    <row r="2713" spans="8:8" x14ac:dyDescent="0.35">
      <c r="H2713" s="36" t="s">
        <v>42</v>
      </c>
    </row>
    <row r="2714" spans="8:8" x14ac:dyDescent="0.35">
      <c r="H2714" s="36" t="s">
        <v>42</v>
      </c>
    </row>
    <row r="2715" spans="8:8" x14ac:dyDescent="0.35">
      <c r="H2715" s="36" t="s">
        <v>42</v>
      </c>
    </row>
    <row r="2716" spans="8:8" x14ac:dyDescent="0.35">
      <c r="H2716" s="36" t="s">
        <v>42</v>
      </c>
    </row>
    <row r="2717" spans="8:8" x14ac:dyDescent="0.35">
      <c r="H2717" s="36" t="s">
        <v>42</v>
      </c>
    </row>
    <row r="2718" spans="8:8" x14ac:dyDescent="0.35">
      <c r="H2718" s="36" t="s">
        <v>42</v>
      </c>
    </row>
    <row r="2719" spans="8:8" x14ac:dyDescent="0.35">
      <c r="H2719" s="36" t="s">
        <v>42</v>
      </c>
    </row>
    <row r="2720" spans="8:8" x14ac:dyDescent="0.35">
      <c r="H2720" s="36" t="s">
        <v>42</v>
      </c>
    </row>
    <row r="2721" spans="8:8" x14ac:dyDescent="0.35">
      <c r="H2721" s="36" t="s">
        <v>42</v>
      </c>
    </row>
    <row r="2722" spans="8:8" x14ac:dyDescent="0.35">
      <c r="H2722" s="36" t="s">
        <v>42</v>
      </c>
    </row>
    <row r="2723" spans="8:8" x14ac:dyDescent="0.35">
      <c r="H2723" s="36" t="s">
        <v>42</v>
      </c>
    </row>
    <row r="2724" spans="8:8" x14ac:dyDescent="0.35">
      <c r="H2724" s="36" t="s">
        <v>42</v>
      </c>
    </row>
    <row r="2725" spans="8:8" x14ac:dyDescent="0.35">
      <c r="H2725" s="36" t="s">
        <v>42</v>
      </c>
    </row>
    <row r="2726" spans="8:8" x14ac:dyDescent="0.35">
      <c r="H2726" s="36" t="s">
        <v>42</v>
      </c>
    </row>
    <row r="2727" spans="8:8" x14ac:dyDescent="0.35">
      <c r="H2727" s="36" t="s">
        <v>42</v>
      </c>
    </row>
    <row r="2728" spans="8:8" x14ac:dyDescent="0.35">
      <c r="H2728" s="36" t="s">
        <v>42</v>
      </c>
    </row>
    <row r="2729" spans="8:8" x14ac:dyDescent="0.35">
      <c r="H2729" s="36" t="s">
        <v>42</v>
      </c>
    </row>
    <row r="2730" spans="8:8" x14ac:dyDescent="0.35">
      <c r="H2730" s="36" t="s">
        <v>42</v>
      </c>
    </row>
    <row r="2731" spans="8:8" x14ac:dyDescent="0.35">
      <c r="H2731" s="36" t="s">
        <v>42</v>
      </c>
    </row>
    <row r="2732" spans="8:8" x14ac:dyDescent="0.35">
      <c r="H2732" s="36" t="s">
        <v>42</v>
      </c>
    </row>
    <row r="2733" spans="8:8" x14ac:dyDescent="0.35">
      <c r="H2733" s="36" t="s">
        <v>42</v>
      </c>
    </row>
    <row r="2734" spans="8:8" x14ac:dyDescent="0.35">
      <c r="H2734" s="36" t="s">
        <v>42</v>
      </c>
    </row>
    <row r="2735" spans="8:8" x14ac:dyDescent="0.35">
      <c r="H2735" s="36" t="s">
        <v>42</v>
      </c>
    </row>
    <row r="2736" spans="8:8" x14ac:dyDescent="0.35">
      <c r="H2736" s="36" t="s">
        <v>42</v>
      </c>
    </row>
    <row r="2737" spans="8:8" x14ac:dyDescent="0.35">
      <c r="H2737" s="36" t="s">
        <v>42</v>
      </c>
    </row>
    <row r="2738" spans="8:8" x14ac:dyDescent="0.35">
      <c r="H2738" s="36" t="s">
        <v>42</v>
      </c>
    </row>
    <row r="2739" spans="8:8" x14ac:dyDescent="0.35">
      <c r="H2739" s="36" t="s">
        <v>42</v>
      </c>
    </row>
    <row r="2740" spans="8:8" x14ac:dyDescent="0.35">
      <c r="H2740" s="36" t="s">
        <v>42</v>
      </c>
    </row>
    <row r="2741" spans="8:8" x14ac:dyDescent="0.35">
      <c r="H2741" s="36" t="s">
        <v>42</v>
      </c>
    </row>
    <row r="2742" spans="8:8" x14ac:dyDescent="0.35">
      <c r="H2742" s="36" t="s">
        <v>42</v>
      </c>
    </row>
    <row r="2743" spans="8:8" x14ac:dyDescent="0.35">
      <c r="H2743" s="36" t="s">
        <v>42</v>
      </c>
    </row>
    <row r="2744" spans="8:8" x14ac:dyDescent="0.35">
      <c r="H2744" s="36" t="s">
        <v>42</v>
      </c>
    </row>
    <row r="2745" spans="8:8" x14ac:dyDescent="0.35">
      <c r="H2745" s="36" t="s">
        <v>42</v>
      </c>
    </row>
    <row r="2746" spans="8:8" x14ac:dyDescent="0.35">
      <c r="H2746" s="36" t="s">
        <v>42</v>
      </c>
    </row>
    <row r="2747" spans="8:8" x14ac:dyDescent="0.35">
      <c r="H2747" s="36" t="s">
        <v>42</v>
      </c>
    </row>
    <row r="2748" spans="8:8" x14ac:dyDescent="0.35">
      <c r="H2748" s="36" t="s">
        <v>42</v>
      </c>
    </row>
    <row r="2749" spans="8:8" x14ac:dyDescent="0.35">
      <c r="H2749" s="36" t="s">
        <v>42</v>
      </c>
    </row>
    <row r="2750" spans="8:8" x14ac:dyDescent="0.35">
      <c r="H2750" s="36" t="s">
        <v>42</v>
      </c>
    </row>
    <row r="2751" spans="8:8" x14ac:dyDescent="0.35">
      <c r="H2751" s="36" t="s">
        <v>42</v>
      </c>
    </row>
    <row r="2752" spans="8:8" x14ac:dyDescent="0.35">
      <c r="H2752" s="36" t="s">
        <v>42</v>
      </c>
    </row>
    <row r="2753" spans="8:8" x14ac:dyDescent="0.35">
      <c r="H2753" s="36" t="s">
        <v>42</v>
      </c>
    </row>
    <row r="2754" spans="8:8" x14ac:dyDescent="0.35">
      <c r="H2754" s="36" t="s">
        <v>42</v>
      </c>
    </row>
    <row r="2755" spans="8:8" x14ac:dyDescent="0.35">
      <c r="H2755" s="36" t="s">
        <v>42</v>
      </c>
    </row>
    <row r="2756" spans="8:8" x14ac:dyDescent="0.35">
      <c r="H2756" s="36" t="s">
        <v>42</v>
      </c>
    </row>
    <row r="2757" spans="8:8" x14ac:dyDescent="0.35">
      <c r="H2757" s="36" t="s">
        <v>42</v>
      </c>
    </row>
    <row r="2758" spans="8:8" x14ac:dyDescent="0.35">
      <c r="H2758" s="36" t="s">
        <v>42</v>
      </c>
    </row>
    <row r="2759" spans="8:8" x14ac:dyDescent="0.35">
      <c r="H2759" s="36" t="s">
        <v>42</v>
      </c>
    </row>
    <row r="2760" spans="8:8" x14ac:dyDescent="0.35">
      <c r="H2760" s="36" t="s">
        <v>42</v>
      </c>
    </row>
    <row r="2761" spans="8:8" x14ac:dyDescent="0.35">
      <c r="H2761" s="36" t="s">
        <v>42</v>
      </c>
    </row>
    <row r="2762" spans="8:8" x14ac:dyDescent="0.35">
      <c r="H2762" s="36" t="s">
        <v>42</v>
      </c>
    </row>
    <row r="2763" spans="8:8" x14ac:dyDescent="0.35">
      <c r="H2763" s="36" t="s">
        <v>42</v>
      </c>
    </row>
    <row r="2764" spans="8:8" x14ac:dyDescent="0.35">
      <c r="H2764" s="36" t="s">
        <v>42</v>
      </c>
    </row>
    <row r="2765" spans="8:8" x14ac:dyDescent="0.35">
      <c r="H2765" s="36" t="s">
        <v>42</v>
      </c>
    </row>
    <row r="2766" spans="8:8" x14ac:dyDescent="0.35">
      <c r="H2766" s="36" t="s">
        <v>42</v>
      </c>
    </row>
    <row r="2767" spans="8:8" x14ac:dyDescent="0.35">
      <c r="H2767" s="36" t="s">
        <v>42</v>
      </c>
    </row>
    <row r="2768" spans="8:8" x14ac:dyDescent="0.35">
      <c r="H2768" s="36" t="s">
        <v>42</v>
      </c>
    </row>
    <row r="2769" spans="8:8" x14ac:dyDescent="0.35">
      <c r="H2769" s="36" t="s">
        <v>42</v>
      </c>
    </row>
    <row r="2770" spans="8:8" x14ac:dyDescent="0.35">
      <c r="H2770" s="36" t="s">
        <v>42</v>
      </c>
    </row>
    <row r="2771" spans="8:8" x14ac:dyDescent="0.35">
      <c r="H2771" s="36" t="s">
        <v>42</v>
      </c>
    </row>
    <row r="2772" spans="8:8" x14ac:dyDescent="0.35">
      <c r="H2772" s="36" t="s">
        <v>42</v>
      </c>
    </row>
    <row r="2773" spans="8:8" x14ac:dyDescent="0.35">
      <c r="H2773" s="36" t="s">
        <v>42</v>
      </c>
    </row>
    <row r="2774" spans="8:8" x14ac:dyDescent="0.35">
      <c r="H2774" s="36" t="s">
        <v>42</v>
      </c>
    </row>
    <row r="2775" spans="8:8" x14ac:dyDescent="0.35">
      <c r="H2775" s="36" t="s">
        <v>42</v>
      </c>
    </row>
    <row r="2776" spans="8:8" x14ac:dyDescent="0.35">
      <c r="H2776" s="36" t="s">
        <v>42</v>
      </c>
    </row>
    <row r="2777" spans="8:8" x14ac:dyDescent="0.35">
      <c r="H2777" s="36" t="s">
        <v>42</v>
      </c>
    </row>
    <row r="2778" spans="8:8" x14ac:dyDescent="0.35">
      <c r="H2778" s="36" t="s">
        <v>42</v>
      </c>
    </row>
    <row r="2779" spans="8:8" x14ac:dyDescent="0.35">
      <c r="H2779" s="36" t="s">
        <v>42</v>
      </c>
    </row>
    <row r="2780" spans="8:8" x14ac:dyDescent="0.35">
      <c r="H2780" s="36" t="s">
        <v>42</v>
      </c>
    </row>
    <row r="2781" spans="8:8" x14ac:dyDescent="0.35">
      <c r="H2781" s="36" t="s">
        <v>42</v>
      </c>
    </row>
    <row r="2782" spans="8:8" x14ac:dyDescent="0.35">
      <c r="H2782" s="36" t="s">
        <v>42</v>
      </c>
    </row>
    <row r="2783" spans="8:8" x14ac:dyDescent="0.35">
      <c r="H2783" s="36" t="s">
        <v>42</v>
      </c>
    </row>
    <row r="2784" spans="8:8" x14ac:dyDescent="0.35">
      <c r="H2784" s="36" t="s">
        <v>42</v>
      </c>
    </row>
    <row r="2785" spans="8:8" x14ac:dyDescent="0.35">
      <c r="H2785" s="36" t="s">
        <v>42</v>
      </c>
    </row>
    <row r="2786" spans="8:8" x14ac:dyDescent="0.35">
      <c r="H2786" s="36" t="s">
        <v>42</v>
      </c>
    </row>
    <row r="2787" spans="8:8" x14ac:dyDescent="0.35">
      <c r="H2787" s="36" t="s">
        <v>42</v>
      </c>
    </row>
    <row r="2788" spans="8:8" x14ac:dyDescent="0.35">
      <c r="H2788" s="36" t="s">
        <v>42</v>
      </c>
    </row>
    <row r="2789" spans="8:8" x14ac:dyDescent="0.35">
      <c r="H2789" s="36" t="s">
        <v>42</v>
      </c>
    </row>
    <row r="2790" spans="8:8" x14ac:dyDescent="0.35">
      <c r="H2790" s="36" t="s">
        <v>42</v>
      </c>
    </row>
    <row r="2791" spans="8:8" x14ac:dyDescent="0.35">
      <c r="H2791" s="36" t="s">
        <v>42</v>
      </c>
    </row>
    <row r="2792" spans="8:8" x14ac:dyDescent="0.35">
      <c r="H2792" s="36" t="s">
        <v>42</v>
      </c>
    </row>
    <row r="2793" spans="8:8" x14ac:dyDescent="0.35">
      <c r="H2793" s="36" t="s">
        <v>42</v>
      </c>
    </row>
    <row r="2794" spans="8:8" x14ac:dyDescent="0.35">
      <c r="H2794" s="36" t="s">
        <v>42</v>
      </c>
    </row>
    <row r="2795" spans="8:8" x14ac:dyDescent="0.35">
      <c r="H2795" s="36" t="s">
        <v>42</v>
      </c>
    </row>
    <row r="2796" spans="8:8" x14ac:dyDescent="0.35">
      <c r="H2796" s="36" t="s">
        <v>42</v>
      </c>
    </row>
    <row r="2797" spans="8:8" x14ac:dyDescent="0.35">
      <c r="H2797" s="36" t="s">
        <v>42</v>
      </c>
    </row>
    <row r="2798" spans="8:8" x14ac:dyDescent="0.35">
      <c r="H2798" s="36" t="s">
        <v>42</v>
      </c>
    </row>
    <row r="2799" spans="8:8" x14ac:dyDescent="0.35">
      <c r="H2799" s="36" t="s">
        <v>42</v>
      </c>
    </row>
    <row r="2800" spans="8:8" x14ac:dyDescent="0.35">
      <c r="H2800" s="36" t="s">
        <v>42</v>
      </c>
    </row>
    <row r="2801" spans="8:8" x14ac:dyDescent="0.35">
      <c r="H2801" s="36" t="s">
        <v>42</v>
      </c>
    </row>
    <row r="2802" spans="8:8" x14ac:dyDescent="0.35">
      <c r="H2802" s="36" t="s">
        <v>42</v>
      </c>
    </row>
    <row r="2803" spans="8:8" x14ac:dyDescent="0.35">
      <c r="H2803" s="36" t="s">
        <v>42</v>
      </c>
    </row>
    <row r="2804" spans="8:8" x14ac:dyDescent="0.35">
      <c r="H2804" s="36" t="s">
        <v>42</v>
      </c>
    </row>
    <row r="2805" spans="8:8" x14ac:dyDescent="0.35">
      <c r="H2805" s="36" t="s">
        <v>42</v>
      </c>
    </row>
    <row r="2806" spans="8:8" x14ac:dyDescent="0.35">
      <c r="H2806" s="36" t="s">
        <v>42</v>
      </c>
    </row>
    <row r="2807" spans="8:8" x14ac:dyDescent="0.35">
      <c r="H2807" s="36" t="s">
        <v>42</v>
      </c>
    </row>
    <row r="2808" spans="8:8" x14ac:dyDescent="0.35">
      <c r="H2808" s="36" t="s">
        <v>42</v>
      </c>
    </row>
    <row r="2809" spans="8:8" x14ac:dyDescent="0.35">
      <c r="H2809" s="36" t="s">
        <v>42</v>
      </c>
    </row>
    <row r="2810" spans="8:8" x14ac:dyDescent="0.35">
      <c r="H2810" s="36" t="s">
        <v>42</v>
      </c>
    </row>
    <row r="2811" spans="8:8" x14ac:dyDescent="0.35">
      <c r="H2811" s="36" t="s">
        <v>42</v>
      </c>
    </row>
    <row r="2812" spans="8:8" x14ac:dyDescent="0.35">
      <c r="H2812" s="36" t="s">
        <v>42</v>
      </c>
    </row>
    <row r="2813" spans="8:8" x14ac:dyDescent="0.35">
      <c r="H2813" s="36" t="s">
        <v>42</v>
      </c>
    </row>
    <row r="2814" spans="8:8" x14ac:dyDescent="0.35">
      <c r="H2814" s="36" t="s">
        <v>42</v>
      </c>
    </row>
    <row r="2815" spans="8:8" x14ac:dyDescent="0.35">
      <c r="H2815" s="36" t="s">
        <v>42</v>
      </c>
    </row>
    <row r="2816" spans="8:8" x14ac:dyDescent="0.35">
      <c r="H2816" s="36" t="s">
        <v>42</v>
      </c>
    </row>
    <row r="2817" spans="8:8" x14ac:dyDescent="0.35">
      <c r="H2817" s="36" t="s">
        <v>42</v>
      </c>
    </row>
    <row r="2818" spans="8:8" x14ac:dyDescent="0.35">
      <c r="H2818" s="36" t="s">
        <v>42</v>
      </c>
    </row>
    <row r="2819" spans="8:8" x14ac:dyDescent="0.35">
      <c r="H2819" s="36" t="s">
        <v>42</v>
      </c>
    </row>
    <row r="2820" spans="8:8" x14ac:dyDescent="0.35">
      <c r="H2820" s="36" t="s">
        <v>42</v>
      </c>
    </row>
    <row r="2821" spans="8:8" x14ac:dyDescent="0.35">
      <c r="H2821" s="36" t="s">
        <v>42</v>
      </c>
    </row>
    <row r="2822" spans="8:8" x14ac:dyDescent="0.35">
      <c r="H2822" s="36" t="s">
        <v>42</v>
      </c>
    </row>
    <row r="2823" spans="8:8" x14ac:dyDescent="0.35">
      <c r="H2823" s="36" t="s">
        <v>42</v>
      </c>
    </row>
    <row r="2824" spans="8:8" x14ac:dyDescent="0.35">
      <c r="H2824" s="36" t="s">
        <v>42</v>
      </c>
    </row>
    <row r="2825" spans="8:8" x14ac:dyDescent="0.35">
      <c r="H2825" s="36" t="s">
        <v>42</v>
      </c>
    </row>
    <row r="2826" spans="8:8" x14ac:dyDescent="0.35">
      <c r="H2826" s="36" t="s">
        <v>42</v>
      </c>
    </row>
    <row r="2827" spans="8:8" x14ac:dyDescent="0.35">
      <c r="H2827" s="36" t="s">
        <v>42</v>
      </c>
    </row>
    <row r="2828" spans="8:8" x14ac:dyDescent="0.35">
      <c r="H2828" s="36" t="s">
        <v>42</v>
      </c>
    </row>
    <row r="2829" spans="8:8" x14ac:dyDescent="0.35">
      <c r="H2829" s="36" t="s">
        <v>42</v>
      </c>
    </row>
    <row r="2830" spans="8:8" x14ac:dyDescent="0.35">
      <c r="H2830" s="36" t="s">
        <v>42</v>
      </c>
    </row>
    <row r="2831" spans="8:8" x14ac:dyDescent="0.35">
      <c r="H2831" s="36" t="s">
        <v>42</v>
      </c>
    </row>
    <row r="2832" spans="8:8" x14ac:dyDescent="0.35">
      <c r="H2832" s="36" t="s">
        <v>42</v>
      </c>
    </row>
    <row r="2833" spans="8:8" x14ac:dyDescent="0.35">
      <c r="H2833" s="36" t="s">
        <v>42</v>
      </c>
    </row>
    <row r="2834" spans="8:8" x14ac:dyDescent="0.35">
      <c r="H2834" s="36" t="s">
        <v>42</v>
      </c>
    </row>
    <row r="2835" spans="8:8" x14ac:dyDescent="0.35">
      <c r="H2835" s="36" t="s">
        <v>42</v>
      </c>
    </row>
    <row r="2836" spans="8:8" x14ac:dyDescent="0.35">
      <c r="H2836" s="36" t="s">
        <v>42</v>
      </c>
    </row>
    <row r="2837" spans="8:8" x14ac:dyDescent="0.35">
      <c r="H2837" s="36" t="s">
        <v>42</v>
      </c>
    </row>
    <row r="2838" spans="8:8" x14ac:dyDescent="0.35">
      <c r="H2838" s="36" t="s">
        <v>42</v>
      </c>
    </row>
    <row r="2839" spans="8:8" x14ac:dyDescent="0.35">
      <c r="H2839" s="36" t="s">
        <v>42</v>
      </c>
    </row>
    <row r="2840" spans="8:8" x14ac:dyDescent="0.35">
      <c r="H2840" s="36" t="s">
        <v>42</v>
      </c>
    </row>
    <row r="2841" spans="8:8" x14ac:dyDescent="0.35">
      <c r="H2841" s="36" t="s">
        <v>42</v>
      </c>
    </row>
    <row r="2842" spans="8:8" x14ac:dyDescent="0.35">
      <c r="H2842" s="36" t="s">
        <v>42</v>
      </c>
    </row>
    <row r="2843" spans="8:8" x14ac:dyDescent="0.35">
      <c r="H2843" s="36" t="s">
        <v>42</v>
      </c>
    </row>
    <row r="2844" spans="8:8" x14ac:dyDescent="0.35">
      <c r="H2844" s="36" t="s">
        <v>42</v>
      </c>
    </row>
    <row r="2845" spans="8:8" x14ac:dyDescent="0.35">
      <c r="H2845" s="36" t="s">
        <v>42</v>
      </c>
    </row>
    <row r="2846" spans="8:8" x14ac:dyDescent="0.35">
      <c r="H2846" s="36" t="s">
        <v>42</v>
      </c>
    </row>
    <row r="2847" spans="8:8" x14ac:dyDescent="0.35">
      <c r="H2847" s="36" t="s">
        <v>42</v>
      </c>
    </row>
    <row r="2848" spans="8:8" x14ac:dyDescent="0.35">
      <c r="H2848" s="36" t="s">
        <v>42</v>
      </c>
    </row>
    <row r="2849" spans="8:8" x14ac:dyDescent="0.35">
      <c r="H2849" s="36" t="s">
        <v>42</v>
      </c>
    </row>
    <row r="2850" spans="8:8" x14ac:dyDescent="0.35">
      <c r="H2850" s="36" t="s">
        <v>42</v>
      </c>
    </row>
    <row r="2851" spans="8:8" x14ac:dyDescent="0.35">
      <c r="H2851" s="36" t="s">
        <v>42</v>
      </c>
    </row>
    <row r="2852" spans="8:8" x14ac:dyDescent="0.35">
      <c r="H2852" s="36" t="s">
        <v>42</v>
      </c>
    </row>
    <row r="2853" spans="8:8" x14ac:dyDescent="0.35">
      <c r="H2853" s="36" t="s">
        <v>42</v>
      </c>
    </row>
    <row r="2854" spans="8:8" x14ac:dyDescent="0.35">
      <c r="H2854" s="36" t="s">
        <v>42</v>
      </c>
    </row>
    <row r="2855" spans="8:8" x14ac:dyDescent="0.35">
      <c r="H2855" s="36" t="s">
        <v>42</v>
      </c>
    </row>
    <row r="2856" spans="8:8" x14ac:dyDescent="0.35">
      <c r="H2856" s="36" t="s">
        <v>42</v>
      </c>
    </row>
    <row r="2857" spans="8:8" x14ac:dyDescent="0.35">
      <c r="H2857" s="36" t="s">
        <v>42</v>
      </c>
    </row>
    <row r="2858" spans="8:8" x14ac:dyDescent="0.35">
      <c r="H2858" s="36" t="s">
        <v>42</v>
      </c>
    </row>
    <row r="2859" spans="8:8" x14ac:dyDescent="0.35">
      <c r="H2859" s="36" t="s">
        <v>42</v>
      </c>
    </row>
    <row r="2860" spans="8:8" x14ac:dyDescent="0.35">
      <c r="H2860" s="36" t="s">
        <v>42</v>
      </c>
    </row>
    <row r="2861" spans="8:8" x14ac:dyDescent="0.35">
      <c r="H2861" s="36" t="s">
        <v>42</v>
      </c>
    </row>
    <row r="2862" spans="8:8" x14ac:dyDescent="0.35">
      <c r="H2862" s="36" t="s">
        <v>42</v>
      </c>
    </row>
    <row r="2863" spans="8:8" x14ac:dyDescent="0.35">
      <c r="H2863" s="36" t="s">
        <v>42</v>
      </c>
    </row>
    <row r="2864" spans="8:8" x14ac:dyDescent="0.35">
      <c r="H2864" s="36" t="s">
        <v>42</v>
      </c>
    </row>
    <row r="2865" spans="8:8" x14ac:dyDescent="0.35">
      <c r="H2865" s="36" t="s">
        <v>42</v>
      </c>
    </row>
    <row r="2866" spans="8:8" x14ac:dyDescent="0.35">
      <c r="H2866" s="36" t="s">
        <v>42</v>
      </c>
    </row>
    <row r="2867" spans="8:8" x14ac:dyDescent="0.35">
      <c r="H2867" s="36" t="s">
        <v>42</v>
      </c>
    </row>
    <row r="2868" spans="8:8" x14ac:dyDescent="0.35">
      <c r="H2868" s="36" t="s">
        <v>42</v>
      </c>
    </row>
    <row r="2869" spans="8:8" x14ac:dyDescent="0.35">
      <c r="H2869" s="36" t="s">
        <v>42</v>
      </c>
    </row>
    <row r="2870" spans="8:8" x14ac:dyDescent="0.35">
      <c r="H2870" s="36" t="s">
        <v>42</v>
      </c>
    </row>
    <row r="2871" spans="8:8" x14ac:dyDescent="0.35">
      <c r="H2871" s="36" t="s">
        <v>42</v>
      </c>
    </row>
    <row r="2872" spans="8:8" x14ac:dyDescent="0.35">
      <c r="H2872" s="36" t="s">
        <v>42</v>
      </c>
    </row>
    <row r="2873" spans="8:8" x14ac:dyDescent="0.35">
      <c r="H2873" s="36" t="s">
        <v>42</v>
      </c>
    </row>
    <row r="2874" spans="8:8" x14ac:dyDescent="0.35">
      <c r="H2874" s="36" t="s">
        <v>42</v>
      </c>
    </row>
    <row r="2875" spans="8:8" x14ac:dyDescent="0.35">
      <c r="H2875" s="36" t="s">
        <v>42</v>
      </c>
    </row>
    <row r="2876" spans="8:8" x14ac:dyDescent="0.35">
      <c r="H2876" s="36" t="s">
        <v>42</v>
      </c>
    </row>
    <row r="2877" spans="8:8" x14ac:dyDescent="0.35">
      <c r="H2877" s="36" t="s">
        <v>42</v>
      </c>
    </row>
    <row r="2878" spans="8:8" x14ac:dyDescent="0.35">
      <c r="H2878" s="36" t="s">
        <v>42</v>
      </c>
    </row>
    <row r="2879" spans="8:8" x14ac:dyDescent="0.35">
      <c r="H2879" s="36" t="s">
        <v>42</v>
      </c>
    </row>
    <row r="2880" spans="8:8" x14ac:dyDescent="0.35">
      <c r="H2880" s="36" t="s">
        <v>42</v>
      </c>
    </row>
    <row r="2881" spans="8:8" x14ac:dyDescent="0.35">
      <c r="H2881" s="36" t="s">
        <v>42</v>
      </c>
    </row>
    <row r="2882" spans="8:8" x14ac:dyDescent="0.35">
      <c r="H2882" s="36" t="s">
        <v>42</v>
      </c>
    </row>
    <row r="2883" spans="8:8" x14ac:dyDescent="0.35">
      <c r="H2883" s="36" t="s">
        <v>42</v>
      </c>
    </row>
    <row r="2884" spans="8:8" x14ac:dyDescent="0.35">
      <c r="H2884" s="36" t="s">
        <v>42</v>
      </c>
    </row>
    <row r="2885" spans="8:8" x14ac:dyDescent="0.35">
      <c r="H2885" s="36" t="s">
        <v>42</v>
      </c>
    </row>
    <row r="2886" spans="8:8" x14ac:dyDescent="0.35">
      <c r="H2886" s="36" t="s">
        <v>42</v>
      </c>
    </row>
    <row r="2887" spans="8:8" x14ac:dyDescent="0.35">
      <c r="H2887" s="36" t="s">
        <v>42</v>
      </c>
    </row>
    <row r="2888" spans="8:8" x14ac:dyDescent="0.35">
      <c r="H2888" s="36" t="s">
        <v>42</v>
      </c>
    </row>
    <row r="2889" spans="8:8" x14ac:dyDescent="0.35">
      <c r="H2889" s="36" t="s">
        <v>42</v>
      </c>
    </row>
    <row r="2890" spans="8:8" x14ac:dyDescent="0.35">
      <c r="H2890" s="36" t="s">
        <v>42</v>
      </c>
    </row>
    <row r="2891" spans="8:8" x14ac:dyDescent="0.35">
      <c r="H2891" s="36" t="s">
        <v>42</v>
      </c>
    </row>
    <row r="2892" spans="8:8" x14ac:dyDescent="0.35">
      <c r="H2892" s="36" t="s">
        <v>42</v>
      </c>
    </row>
    <row r="2893" spans="8:8" x14ac:dyDescent="0.35">
      <c r="H2893" s="36" t="s">
        <v>42</v>
      </c>
    </row>
    <row r="2894" spans="8:8" x14ac:dyDescent="0.35">
      <c r="H2894" s="36" t="s">
        <v>42</v>
      </c>
    </row>
    <row r="2895" spans="8:8" x14ac:dyDescent="0.35">
      <c r="H2895" s="36" t="s">
        <v>42</v>
      </c>
    </row>
    <row r="2896" spans="8:8" x14ac:dyDescent="0.35">
      <c r="H2896" s="36" t="s">
        <v>42</v>
      </c>
    </row>
    <row r="2897" spans="8:8" x14ac:dyDescent="0.35">
      <c r="H2897" s="36" t="s">
        <v>42</v>
      </c>
    </row>
    <row r="2898" spans="8:8" x14ac:dyDescent="0.35">
      <c r="H2898" s="36" t="s">
        <v>42</v>
      </c>
    </row>
    <row r="2899" spans="8:8" x14ac:dyDescent="0.35">
      <c r="H2899" s="36" t="s">
        <v>42</v>
      </c>
    </row>
    <row r="2900" spans="8:8" x14ac:dyDescent="0.35">
      <c r="H2900" s="36" t="s">
        <v>42</v>
      </c>
    </row>
    <row r="2901" spans="8:8" x14ac:dyDescent="0.35">
      <c r="H2901" s="36" t="s">
        <v>42</v>
      </c>
    </row>
    <row r="2902" spans="8:8" x14ac:dyDescent="0.35">
      <c r="H2902" s="36" t="s">
        <v>42</v>
      </c>
    </row>
    <row r="2903" spans="8:8" x14ac:dyDescent="0.35">
      <c r="H2903" s="36" t="s">
        <v>42</v>
      </c>
    </row>
    <row r="2904" spans="8:8" x14ac:dyDescent="0.35">
      <c r="H2904" s="36" t="s">
        <v>42</v>
      </c>
    </row>
    <row r="2905" spans="8:8" x14ac:dyDescent="0.35">
      <c r="H2905" s="36" t="s">
        <v>42</v>
      </c>
    </row>
    <row r="2906" spans="8:8" x14ac:dyDescent="0.35">
      <c r="H2906" s="36" t="s">
        <v>42</v>
      </c>
    </row>
    <row r="2907" spans="8:8" x14ac:dyDescent="0.35">
      <c r="H2907" s="36" t="s">
        <v>42</v>
      </c>
    </row>
    <row r="2908" spans="8:8" x14ac:dyDescent="0.35">
      <c r="H2908" s="36" t="s">
        <v>42</v>
      </c>
    </row>
    <row r="2909" spans="8:8" x14ac:dyDescent="0.35">
      <c r="H2909" s="36" t="s">
        <v>42</v>
      </c>
    </row>
    <row r="2910" spans="8:8" x14ac:dyDescent="0.35">
      <c r="H2910" s="36" t="s">
        <v>42</v>
      </c>
    </row>
    <row r="2911" spans="8:8" x14ac:dyDescent="0.35">
      <c r="H2911" s="36" t="s">
        <v>42</v>
      </c>
    </row>
    <row r="2912" spans="8:8" x14ac:dyDescent="0.35">
      <c r="H2912" s="36" t="s">
        <v>42</v>
      </c>
    </row>
    <row r="2913" spans="8:8" x14ac:dyDescent="0.35">
      <c r="H2913" s="36" t="s">
        <v>42</v>
      </c>
    </row>
    <row r="2914" spans="8:8" x14ac:dyDescent="0.35">
      <c r="H2914" s="36" t="s">
        <v>42</v>
      </c>
    </row>
    <row r="2915" spans="8:8" x14ac:dyDescent="0.35">
      <c r="H2915" s="36" t="s">
        <v>42</v>
      </c>
    </row>
    <row r="2916" spans="8:8" x14ac:dyDescent="0.35">
      <c r="H2916" s="36" t="s">
        <v>42</v>
      </c>
    </row>
    <row r="2917" spans="8:8" x14ac:dyDescent="0.35">
      <c r="H2917" s="36" t="s">
        <v>42</v>
      </c>
    </row>
    <row r="2918" spans="8:8" x14ac:dyDescent="0.35">
      <c r="H2918" s="36" t="s">
        <v>42</v>
      </c>
    </row>
    <row r="2919" spans="8:8" x14ac:dyDescent="0.35">
      <c r="H2919" s="36" t="s">
        <v>42</v>
      </c>
    </row>
    <row r="2920" spans="8:8" x14ac:dyDescent="0.35">
      <c r="H2920" s="36" t="s">
        <v>42</v>
      </c>
    </row>
    <row r="2921" spans="8:8" x14ac:dyDescent="0.35">
      <c r="H2921" s="36" t="s">
        <v>42</v>
      </c>
    </row>
    <row r="2922" spans="8:8" x14ac:dyDescent="0.35">
      <c r="H2922" s="36" t="s">
        <v>42</v>
      </c>
    </row>
    <row r="2923" spans="8:8" x14ac:dyDescent="0.35">
      <c r="H2923" s="36" t="s">
        <v>42</v>
      </c>
    </row>
    <row r="2924" spans="8:8" x14ac:dyDescent="0.35">
      <c r="H2924" s="36" t="s">
        <v>42</v>
      </c>
    </row>
    <row r="2925" spans="8:8" x14ac:dyDescent="0.35">
      <c r="H2925" s="36" t="s">
        <v>42</v>
      </c>
    </row>
    <row r="2926" spans="8:8" x14ac:dyDescent="0.35">
      <c r="H2926" s="36" t="s">
        <v>42</v>
      </c>
    </row>
    <row r="2927" spans="8:8" x14ac:dyDescent="0.35">
      <c r="H2927" s="36" t="s">
        <v>42</v>
      </c>
    </row>
    <row r="2928" spans="8:8" x14ac:dyDescent="0.35">
      <c r="H2928" s="36" t="s">
        <v>42</v>
      </c>
    </row>
    <row r="2929" spans="8:8" x14ac:dyDescent="0.35">
      <c r="H2929" s="36" t="s">
        <v>42</v>
      </c>
    </row>
    <row r="2930" spans="8:8" x14ac:dyDescent="0.35">
      <c r="H2930" s="36" t="s">
        <v>42</v>
      </c>
    </row>
    <row r="2931" spans="8:8" x14ac:dyDescent="0.35">
      <c r="H2931" s="36" t="s">
        <v>42</v>
      </c>
    </row>
    <row r="2932" spans="8:8" x14ac:dyDescent="0.35">
      <c r="H2932" s="36" t="s">
        <v>42</v>
      </c>
    </row>
    <row r="2933" spans="8:8" x14ac:dyDescent="0.35">
      <c r="H2933" s="36" t="s">
        <v>42</v>
      </c>
    </row>
    <row r="2934" spans="8:8" x14ac:dyDescent="0.35">
      <c r="H2934" s="36" t="s">
        <v>42</v>
      </c>
    </row>
    <row r="2935" spans="8:8" x14ac:dyDescent="0.35">
      <c r="H2935" s="36" t="s">
        <v>42</v>
      </c>
    </row>
    <row r="2936" spans="8:8" x14ac:dyDescent="0.35">
      <c r="H2936" s="36" t="s">
        <v>42</v>
      </c>
    </row>
    <row r="2937" spans="8:8" x14ac:dyDescent="0.35">
      <c r="H2937" s="36" t="s">
        <v>42</v>
      </c>
    </row>
    <row r="2938" spans="8:8" x14ac:dyDescent="0.35">
      <c r="H2938" s="36" t="s">
        <v>42</v>
      </c>
    </row>
    <row r="2939" spans="8:8" x14ac:dyDescent="0.35">
      <c r="H2939" s="36" t="s">
        <v>42</v>
      </c>
    </row>
    <row r="2940" spans="8:8" x14ac:dyDescent="0.35">
      <c r="H2940" s="36" t="s">
        <v>42</v>
      </c>
    </row>
    <row r="2941" spans="8:8" x14ac:dyDescent="0.35">
      <c r="H2941" s="36" t="s">
        <v>42</v>
      </c>
    </row>
    <row r="2942" spans="8:8" x14ac:dyDescent="0.35">
      <c r="H2942" s="36" t="s">
        <v>42</v>
      </c>
    </row>
    <row r="2943" spans="8:8" x14ac:dyDescent="0.35">
      <c r="H2943" s="36" t="s">
        <v>42</v>
      </c>
    </row>
    <row r="2944" spans="8:8" x14ac:dyDescent="0.35">
      <c r="H2944" s="36" t="s">
        <v>42</v>
      </c>
    </row>
    <row r="2945" spans="8:8" x14ac:dyDescent="0.35">
      <c r="H2945" s="36" t="s">
        <v>42</v>
      </c>
    </row>
    <row r="2946" spans="8:8" x14ac:dyDescent="0.35">
      <c r="H2946" s="36" t="s">
        <v>42</v>
      </c>
    </row>
    <row r="2947" spans="8:8" x14ac:dyDescent="0.35">
      <c r="H2947" s="36" t="s">
        <v>42</v>
      </c>
    </row>
    <row r="2948" spans="8:8" x14ac:dyDescent="0.35">
      <c r="H2948" s="36" t="s">
        <v>42</v>
      </c>
    </row>
    <row r="2949" spans="8:8" x14ac:dyDescent="0.35">
      <c r="H2949" s="36" t="s">
        <v>42</v>
      </c>
    </row>
    <row r="2950" spans="8:8" x14ac:dyDescent="0.35">
      <c r="H2950" s="36" t="s">
        <v>42</v>
      </c>
    </row>
    <row r="2951" spans="8:8" x14ac:dyDescent="0.35">
      <c r="H2951" s="36" t="s">
        <v>42</v>
      </c>
    </row>
    <row r="2952" spans="8:8" x14ac:dyDescent="0.35">
      <c r="H2952" s="36" t="s">
        <v>42</v>
      </c>
    </row>
    <row r="2953" spans="8:8" x14ac:dyDescent="0.35">
      <c r="H2953" s="36" t="s">
        <v>42</v>
      </c>
    </row>
    <row r="2954" spans="8:8" x14ac:dyDescent="0.35">
      <c r="H2954" s="36" t="s">
        <v>42</v>
      </c>
    </row>
    <row r="2955" spans="8:8" x14ac:dyDescent="0.35">
      <c r="H2955" s="36" t="s">
        <v>42</v>
      </c>
    </row>
    <row r="2956" spans="8:8" x14ac:dyDescent="0.35">
      <c r="H2956" s="36" t="s">
        <v>42</v>
      </c>
    </row>
    <row r="2957" spans="8:8" x14ac:dyDescent="0.35">
      <c r="H2957" s="36" t="s">
        <v>42</v>
      </c>
    </row>
    <row r="2958" spans="8:8" x14ac:dyDescent="0.35">
      <c r="H2958" s="36" t="s">
        <v>42</v>
      </c>
    </row>
    <row r="2959" spans="8:8" x14ac:dyDescent="0.35">
      <c r="H2959" s="36" t="s">
        <v>42</v>
      </c>
    </row>
    <row r="2960" spans="8:8" x14ac:dyDescent="0.35">
      <c r="H2960" s="36" t="s">
        <v>42</v>
      </c>
    </row>
    <row r="2961" spans="8:8" x14ac:dyDescent="0.35">
      <c r="H2961" s="36" t="s">
        <v>42</v>
      </c>
    </row>
    <row r="2962" spans="8:8" x14ac:dyDescent="0.35">
      <c r="H2962" s="36" t="s">
        <v>42</v>
      </c>
    </row>
    <row r="2963" spans="8:8" x14ac:dyDescent="0.35">
      <c r="H2963" s="36" t="s">
        <v>42</v>
      </c>
    </row>
    <row r="2964" spans="8:8" x14ac:dyDescent="0.35">
      <c r="H2964" s="36" t="s">
        <v>42</v>
      </c>
    </row>
    <row r="2965" spans="8:8" x14ac:dyDescent="0.35">
      <c r="H2965" s="36" t="s">
        <v>42</v>
      </c>
    </row>
    <row r="2966" spans="8:8" x14ac:dyDescent="0.35">
      <c r="H2966" s="36" t="s">
        <v>42</v>
      </c>
    </row>
    <row r="2967" spans="8:8" x14ac:dyDescent="0.35">
      <c r="H2967" s="36" t="s">
        <v>42</v>
      </c>
    </row>
    <row r="2968" spans="8:8" x14ac:dyDescent="0.35">
      <c r="H2968" s="36" t="s">
        <v>42</v>
      </c>
    </row>
    <row r="2969" spans="8:8" x14ac:dyDescent="0.35">
      <c r="H2969" s="36" t="s">
        <v>42</v>
      </c>
    </row>
    <row r="2970" spans="8:8" x14ac:dyDescent="0.35">
      <c r="H2970" s="36" t="s">
        <v>42</v>
      </c>
    </row>
    <row r="2971" spans="8:8" x14ac:dyDescent="0.35">
      <c r="H2971" s="36" t="s">
        <v>42</v>
      </c>
    </row>
    <row r="2972" spans="8:8" x14ac:dyDescent="0.35">
      <c r="H2972" s="36" t="s">
        <v>42</v>
      </c>
    </row>
    <row r="2973" spans="8:8" x14ac:dyDescent="0.35">
      <c r="H2973" s="36" t="s">
        <v>42</v>
      </c>
    </row>
    <row r="2974" spans="8:8" x14ac:dyDescent="0.35">
      <c r="H2974" s="36" t="s">
        <v>42</v>
      </c>
    </row>
    <row r="2975" spans="8:8" x14ac:dyDescent="0.35">
      <c r="H2975" s="36" t="s">
        <v>42</v>
      </c>
    </row>
    <row r="2976" spans="8:8" x14ac:dyDescent="0.35">
      <c r="H2976" s="36" t="s">
        <v>42</v>
      </c>
    </row>
    <row r="2977" spans="8:8" x14ac:dyDescent="0.35">
      <c r="H2977" s="36" t="s">
        <v>42</v>
      </c>
    </row>
    <row r="2978" spans="8:8" x14ac:dyDescent="0.35">
      <c r="H2978" s="36" t="s">
        <v>42</v>
      </c>
    </row>
    <row r="2979" spans="8:8" x14ac:dyDescent="0.35">
      <c r="H2979" s="36" t="s">
        <v>42</v>
      </c>
    </row>
    <row r="2980" spans="8:8" x14ac:dyDescent="0.35">
      <c r="H2980" s="36" t="s">
        <v>42</v>
      </c>
    </row>
    <row r="2981" spans="8:8" x14ac:dyDescent="0.35">
      <c r="H2981" s="36" t="s">
        <v>42</v>
      </c>
    </row>
    <row r="2982" spans="8:8" x14ac:dyDescent="0.35">
      <c r="H2982" s="36" t="s">
        <v>42</v>
      </c>
    </row>
    <row r="2983" spans="8:8" x14ac:dyDescent="0.35">
      <c r="H2983" s="36" t="s">
        <v>42</v>
      </c>
    </row>
    <row r="2984" spans="8:8" x14ac:dyDescent="0.35">
      <c r="H2984" s="36" t="s">
        <v>42</v>
      </c>
    </row>
    <row r="2985" spans="8:8" x14ac:dyDescent="0.35">
      <c r="H2985" s="36" t="s">
        <v>42</v>
      </c>
    </row>
    <row r="2986" spans="8:8" x14ac:dyDescent="0.35">
      <c r="H2986" s="36" t="s">
        <v>42</v>
      </c>
    </row>
    <row r="2987" spans="8:8" x14ac:dyDescent="0.35">
      <c r="H2987" s="36" t="s">
        <v>42</v>
      </c>
    </row>
    <row r="2988" spans="8:8" x14ac:dyDescent="0.35">
      <c r="H2988" s="36" t="s">
        <v>42</v>
      </c>
    </row>
    <row r="2989" spans="8:8" x14ac:dyDescent="0.35">
      <c r="H2989" s="36" t="s">
        <v>42</v>
      </c>
    </row>
    <row r="2990" spans="8:8" x14ac:dyDescent="0.35">
      <c r="H2990" s="36" t="s">
        <v>42</v>
      </c>
    </row>
    <row r="2991" spans="8:8" x14ac:dyDescent="0.35">
      <c r="H2991" s="36" t="s">
        <v>42</v>
      </c>
    </row>
    <row r="2992" spans="8:8" x14ac:dyDescent="0.35">
      <c r="H2992" s="36" t="s">
        <v>42</v>
      </c>
    </row>
    <row r="2993" spans="8:8" x14ac:dyDescent="0.35">
      <c r="H2993" s="36" t="s">
        <v>42</v>
      </c>
    </row>
    <row r="2994" spans="8:8" x14ac:dyDescent="0.35">
      <c r="H2994" s="36" t="s">
        <v>42</v>
      </c>
    </row>
    <row r="2995" spans="8:8" x14ac:dyDescent="0.35">
      <c r="H2995" s="36" t="s">
        <v>42</v>
      </c>
    </row>
    <row r="2996" spans="8:8" x14ac:dyDescent="0.35">
      <c r="H2996" s="36" t="s">
        <v>42</v>
      </c>
    </row>
    <row r="2997" spans="8:8" x14ac:dyDescent="0.35">
      <c r="H2997" s="36" t="s">
        <v>42</v>
      </c>
    </row>
    <row r="2998" spans="8:8" x14ac:dyDescent="0.35">
      <c r="H2998" s="36" t="s">
        <v>42</v>
      </c>
    </row>
    <row r="2999" spans="8:8" x14ac:dyDescent="0.35">
      <c r="H2999" s="36" t="s">
        <v>42</v>
      </c>
    </row>
    <row r="3000" spans="8:8" x14ac:dyDescent="0.35">
      <c r="H3000" s="36" t="s">
        <v>42</v>
      </c>
    </row>
    <row r="3001" spans="8:8" x14ac:dyDescent="0.35">
      <c r="H3001" s="36" t="s">
        <v>42</v>
      </c>
    </row>
    <row r="3002" spans="8:8" x14ac:dyDescent="0.35">
      <c r="H3002" s="36" t="s">
        <v>42</v>
      </c>
    </row>
    <row r="3003" spans="8:8" x14ac:dyDescent="0.35">
      <c r="H3003" s="36" t="s">
        <v>42</v>
      </c>
    </row>
    <row r="3004" spans="8:8" x14ac:dyDescent="0.35">
      <c r="H3004" s="36" t="s">
        <v>42</v>
      </c>
    </row>
    <row r="3005" spans="8:8" x14ac:dyDescent="0.35">
      <c r="H3005" s="36" t="s">
        <v>42</v>
      </c>
    </row>
    <row r="3006" spans="8:8" x14ac:dyDescent="0.35">
      <c r="H3006" s="36" t="s">
        <v>42</v>
      </c>
    </row>
    <row r="3007" spans="8:8" x14ac:dyDescent="0.35">
      <c r="H3007" s="36" t="s">
        <v>42</v>
      </c>
    </row>
    <row r="3008" spans="8:8" x14ac:dyDescent="0.35">
      <c r="H3008" s="36" t="s">
        <v>42</v>
      </c>
    </row>
    <row r="3009" spans="8:8" x14ac:dyDescent="0.35">
      <c r="H3009" s="36" t="s">
        <v>42</v>
      </c>
    </row>
    <row r="3010" spans="8:8" x14ac:dyDescent="0.35">
      <c r="H3010" s="36" t="s">
        <v>42</v>
      </c>
    </row>
    <row r="3011" spans="8:8" x14ac:dyDescent="0.35">
      <c r="H3011" s="36" t="s">
        <v>42</v>
      </c>
    </row>
    <row r="3012" spans="8:8" x14ac:dyDescent="0.35">
      <c r="H3012" s="36" t="s">
        <v>42</v>
      </c>
    </row>
    <row r="3013" spans="8:8" x14ac:dyDescent="0.35">
      <c r="H3013" s="36" t="s">
        <v>42</v>
      </c>
    </row>
    <row r="3014" spans="8:8" x14ac:dyDescent="0.35">
      <c r="H3014" s="36" t="s">
        <v>42</v>
      </c>
    </row>
    <row r="3015" spans="8:8" x14ac:dyDescent="0.35">
      <c r="H3015" s="36" t="s">
        <v>42</v>
      </c>
    </row>
    <row r="3016" spans="8:8" x14ac:dyDescent="0.35">
      <c r="H3016" s="36" t="s">
        <v>42</v>
      </c>
    </row>
    <row r="3017" spans="8:8" x14ac:dyDescent="0.35">
      <c r="H3017" s="36" t="s">
        <v>42</v>
      </c>
    </row>
    <row r="3018" spans="8:8" x14ac:dyDescent="0.35">
      <c r="H3018" s="36" t="s">
        <v>42</v>
      </c>
    </row>
    <row r="3019" spans="8:8" x14ac:dyDescent="0.35">
      <c r="H3019" s="36" t="s">
        <v>42</v>
      </c>
    </row>
    <row r="3020" spans="8:8" x14ac:dyDescent="0.35">
      <c r="H3020" s="36" t="s">
        <v>42</v>
      </c>
    </row>
    <row r="3021" spans="8:8" x14ac:dyDescent="0.35">
      <c r="H3021" s="36" t="s">
        <v>42</v>
      </c>
    </row>
    <row r="3022" spans="8:8" x14ac:dyDescent="0.35">
      <c r="H3022" s="36" t="s">
        <v>42</v>
      </c>
    </row>
    <row r="3023" spans="8:8" x14ac:dyDescent="0.35">
      <c r="H3023" s="36" t="s">
        <v>42</v>
      </c>
    </row>
    <row r="3024" spans="8:8" x14ac:dyDescent="0.35">
      <c r="H3024" s="36" t="s">
        <v>42</v>
      </c>
    </row>
    <row r="3025" spans="8:8" x14ac:dyDescent="0.35">
      <c r="H3025" s="36" t="s">
        <v>42</v>
      </c>
    </row>
    <row r="3026" spans="8:8" x14ac:dyDescent="0.35">
      <c r="H3026" s="36" t="s">
        <v>42</v>
      </c>
    </row>
    <row r="3027" spans="8:8" x14ac:dyDescent="0.35">
      <c r="H3027" s="36" t="s">
        <v>42</v>
      </c>
    </row>
    <row r="3028" spans="8:8" x14ac:dyDescent="0.35">
      <c r="H3028" s="36" t="s">
        <v>42</v>
      </c>
    </row>
    <row r="3029" spans="8:8" x14ac:dyDescent="0.35">
      <c r="H3029" s="36" t="s">
        <v>42</v>
      </c>
    </row>
    <row r="3030" spans="8:8" x14ac:dyDescent="0.35">
      <c r="H3030" s="36" t="s">
        <v>42</v>
      </c>
    </row>
    <row r="3031" spans="8:8" x14ac:dyDescent="0.35">
      <c r="H3031" s="36" t="s">
        <v>42</v>
      </c>
    </row>
    <row r="3032" spans="8:8" x14ac:dyDescent="0.35">
      <c r="H3032" s="36" t="s">
        <v>42</v>
      </c>
    </row>
    <row r="3033" spans="8:8" x14ac:dyDescent="0.35">
      <c r="H3033" s="36" t="s">
        <v>42</v>
      </c>
    </row>
    <row r="3034" spans="8:8" x14ac:dyDescent="0.35">
      <c r="H3034" s="36" t="s">
        <v>42</v>
      </c>
    </row>
    <row r="3035" spans="8:8" x14ac:dyDescent="0.35">
      <c r="H3035" s="36" t="s">
        <v>42</v>
      </c>
    </row>
    <row r="3036" spans="8:8" x14ac:dyDescent="0.35">
      <c r="H3036" s="36" t="s">
        <v>42</v>
      </c>
    </row>
    <row r="3037" spans="8:8" x14ac:dyDescent="0.35">
      <c r="H3037" s="36" t="s">
        <v>42</v>
      </c>
    </row>
    <row r="3038" spans="8:8" x14ac:dyDescent="0.35">
      <c r="H3038" s="36" t="s">
        <v>42</v>
      </c>
    </row>
    <row r="3039" spans="8:8" x14ac:dyDescent="0.35">
      <c r="H3039" s="36" t="s">
        <v>42</v>
      </c>
    </row>
    <row r="3040" spans="8:8" x14ac:dyDescent="0.35">
      <c r="H3040" s="36" t="s">
        <v>42</v>
      </c>
    </row>
    <row r="3041" spans="8:8" x14ac:dyDescent="0.35">
      <c r="H3041" s="36" t="s">
        <v>42</v>
      </c>
    </row>
    <row r="3042" spans="8:8" x14ac:dyDescent="0.35">
      <c r="H3042" s="36" t="s">
        <v>42</v>
      </c>
    </row>
    <row r="3043" spans="8:8" x14ac:dyDescent="0.35">
      <c r="H3043" s="36" t="s">
        <v>42</v>
      </c>
    </row>
    <row r="3044" spans="8:8" x14ac:dyDescent="0.35">
      <c r="H3044" s="36" t="s">
        <v>42</v>
      </c>
    </row>
    <row r="3045" spans="8:8" x14ac:dyDescent="0.35">
      <c r="H3045" s="36" t="s">
        <v>42</v>
      </c>
    </row>
    <row r="3046" spans="8:8" x14ac:dyDescent="0.35">
      <c r="H3046" s="36" t="s">
        <v>42</v>
      </c>
    </row>
    <row r="3047" spans="8:8" x14ac:dyDescent="0.35">
      <c r="H3047" s="36" t="s">
        <v>42</v>
      </c>
    </row>
    <row r="3048" spans="8:8" x14ac:dyDescent="0.35">
      <c r="H3048" s="36" t="s">
        <v>42</v>
      </c>
    </row>
    <row r="3049" spans="8:8" x14ac:dyDescent="0.35">
      <c r="H3049" s="36" t="s">
        <v>42</v>
      </c>
    </row>
    <row r="3050" spans="8:8" x14ac:dyDescent="0.35">
      <c r="H3050" s="36" t="s">
        <v>42</v>
      </c>
    </row>
    <row r="3051" spans="8:8" x14ac:dyDescent="0.35">
      <c r="H3051" s="36" t="s">
        <v>42</v>
      </c>
    </row>
    <row r="3052" spans="8:8" x14ac:dyDescent="0.35">
      <c r="H3052" s="36" t="s">
        <v>42</v>
      </c>
    </row>
    <row r="3053" spans="8:8" x14ac:dyDescent="0.35">
      <c r="H3053" s="36" t="s">
        <v>42</v>
      </c>
    </row>
    <row r="3054" spans="8:8" x14ac:dyDescent="0.35">
      <c r="H3054" s="36" t="s">
        <v>42</v>
      </c>
    </row>
    <row r="3055" spans="8:8" x14ac:dyDescent="0.35">
      <c r="H3055" s="36" t="s">
        <v>42</v>
      </c>
    </row>
    <row r="3056" spans="8:8" x14ac:dyDescent="0.35">
      <c r="H3056" s="36" t="s">
        <v>42</v>
      </c>
    </row>
    <row r="3057" spans="8:8" x14ac:dyDescent="0.35">
      <c r="H3057" s="36" t="s">
        <v>42</v>
      </c>
    </row>
    <row r="3058" spans="8:8" x14ac:dyDescent="0.35">
      <c r="H3058" s="36" t="s">
        <v>42</v>
      </c>
    </row>
    <row r="3059" spans="8:8" x14ac:dyDescent="0.35">
      <c r="H3059" s="36" t="s">
        <v>42</v>
      </c>
    </row>
    <row r="3060" spans="8:8" x14ac:dyDescent="0.35">
      <c r="H3060" s="36" t="s">
        <v>42</v>
      </c>
    </row>
    <row r="3061" spans="8:8" x14ac:dyDescent="0.35">
      <c r="H3061" s="36" t="s">
        <v>42</v>
      </c>
    </row>
    <row r="3062" spans="8:8" x14ac:dyDescent="0.35">
      <c r="H3062" s="36" t="s">
        <v>42</v>
      </c>
    </row>
    <row r="3063" spans="8:8" x14ac:dyDescent="0.35">
      <c r="H3063" s="36" t="s">
        <v>42</v>
      </c>
    </row>
    <row r="3064" spans="8:8" x14ac:dyDescent="0.35">
      <c r="H3064" s="36" t="s">
        <v>42</v>
      </c>
    </row>
    <row r="3065" spans="8:8" x14ac:dyDescent="0.35">
      <c r="H3065" s="36" t="s">
        <v>42</v>
      </c>
    </row>
    <row r="3066" spans="8:8" x14ac:dyDescent="0.35">
      <c r="H3066" s="36" t="s">
        <v>42</v>
      </c>
    </row>
    <row r="3067" spans="8:8" x14ac:dyDescent="0.35">
      <c r="H3067" s="36" t="s">
        <v>42</v>
      </c>
    </row>
    <row r="3068" spans="8:8" x14ac:dyDescent="0.35">
      <c r="H3068" s="36" t="s">
        <v>42</v>
      </c>
    </row>
    <row r="3069" spans="8:8" x14ac:dyDescent="0.35">
      <c r="H3069" s="36" t="s">
        <v>42</v>
      </c>
    </row>
    <row r="3070" spans="8:8" x14ac:dyDescent="0.35">
      <c r="H3070" s="36" t="s">
        <v>42</v>
      </c>
    </row>
    <row r="3071" spans="8:8" x14ac:dyDescent="0.35">
      <c r="H3071" s="36" t="s">
        <v>42</v>
      </c>
    </row>
    <row r="3072" spans="8:8" x14ac:dyDescent="0.35">
      <c r="H3072" s="36" t="s">
        <v>42</v>
      </c>
    </row>
    <row r="3073" spans="8:8" x14ac:dyDescent="0.35">
      <c r="H3073" s="36" t="s">
        <v>42</v>
      </c>
    </row>
    <row r="3074" spans="8:8" x14ac:dyDescent="0.35">
      <c r="H3074" s="36" t="s">
        <v>42</v>
      </c>
    </row>
    <row r="3075" spans="8:8" x14ac:dyDescent="0.35">
      <c r="H3075" s="36" t="s">
        <v>42</v>
      </c>
    </row>
    <row r="3076" spans="8:8" x14ac:dyDescent="0.35">
      <c r="H3076" s="36" t="s">
        <v>42</v>
      </c>
    </row>
    <row r="3077" spans="8:8" x14ac:dyDescent="0.35">
      <c r="H3077" s="36" t="s">
        <v>42</v>
      </c>
    </row>
    <row r="3078" spans="8:8" x14ac:dyDescent="0.35">
      <c r="H3078" s="36" t="s">
        <v>42</v>
      </c>
    </row>
    <row r="3079" spans="8:8" x14ac:dyDescent="0.35">
      <c r="H3079" s="36" t="s">
        <v>42</v>
      </c>
    </row>
    <row r="3080" spans="8:8" x14ac:dyDescent="0.35">
      <c r="H3080" s="36" t="s">
        <v>42</v>
      </c>
    </row>
    <row r="3081" spans="8:8" x14ac:dyDescent="0.35">
      <c r="H3081" s="36" t="s">
        <v>42</v>
      </c>
    </row>
    <row r="3082" spans="8:8" x14ac:dyDescent="0.35">
      <c r="H3082" s="36" t="s">
        <v>42</v>
      </c>
    </row>
    <row r="3083" spans="8:8" x14ac:dyDescent="0.35">
      <c r="H3083" s="36" t="s">
        <v>42</v>
      </c>
    </row>
    <row r="3084" spans="8:8" x14ac:dyDescent="0.35">
      <c r="H3084" s="36" t="s">
        <v>42</v>
      </c>
    </row>
    <row r="3085" spans="8:8" x14ac:dyDescent="0.35">
      <c r="H3085" s="36" t="s">
        <v>42</v>
      </c>
    </row>
    <row r="3086" spans="8:8" x14ac:dyDescent="0.35">
      <c r="H3086" s="36" t="s">
        <v>42</v>
      </c>
    </row>
    <row r="3087" spans="8:8" x14ac:dyDescent="0.35">
      <c r="H3087" s="36" t="s">
        <v>42</v>
      </c>
    </row>
    <row r="3088" spans="8:8" x14ac:dyDescent="0.35">
      <c r="H3088" s="36" t="s">
        <v>42</v>
      </c>
    </row>
    <row r="3089" spans="8:8" x14ac:dyDescent="0.35">
      <c r="H3089" s="36" t="s">
        <v>42</v>
      </c>
    </row>
    <row r="3090" spans="8:8" x14ac:dyDescent="0.35">
      <c r="H3090" s="36" t="s">
        <v>42</v>
      </c>
    </row>
    <row r="3091" spans="8:8" x14ac:dyDescent="0.35">
      <c r="H3091" s="36" t="s">
        <v>42</v>
      </c>
    </row>
    <row r="3092" spans="8:8" x14ac:dyDescent="0.35">
      <c r="H3092" s="36" t="s">
        <v>42</v>
      </c>
    </row>
    <row r="3093" spans="8:8" x14ac:dyDescent="0.35">
      <c r="H3093" s="36" t="s">
        <v>42</v>
      </c>
    </row>
    <row r="3094" spans="8:8" x14ac:dyDescent="0.35">
      <c r="H3094" s="36" t="s">
        <v>42</v>
      </c>
    </row>
    <row r="3095" spans="8:8" x14ac:dyDescent="0.35">
      <c r="H3095" s="36" t="s">
        <v>42</v>
      </c>
    </row>
    <row r="3096" spans="8:8" x14ac:dyDescent="0.35">
      <c r="H3096" s="36" t="s">
        <v>42</v>
      </c>
    </row>
    <row r="3097" spans="8:8" x14ac:dyDescent="0.35">
      <c r="H3097" s="36" t="s">
        <v>42</v>
      </c>
    </row>
    <row r="3098" spans="8:8" x14ac:dyDescent="0.35">
      <c r="H3098" s="36" t="s">
        <v>42</v>
      </c>
    </row>
    <row r="3099" spans="8:8" x14ac:dyDescent="0.35">
      <c r="H3099" s="36" t="s">
        <v>42</v>
      </c>
    </row>
    <row r="3100" spans="8:8" x14ac:dyDescent="0.35">
      <c r="H3100" s="36" t="s">
        <v>42</v>
      </c>
    </row>
    <row r="3101" spans="8:8" x14ac:dyDescent="0.35">
      <c r="H3101" s="36" t="s">
        <v>42</v>
      </c>
    </row>
    <row r="3102" spans="8:8" x14ac:dyDescent="0.35">
      <c r="H3102" s="36" t="s">
        <v>42</v>
      </c>
    </row>
    <row r="3103" spans="8:8" x14ac:dyDescent="0.35">
      <c r="H3103" s="36" t="s">
        <v>42</v>
      </c>
    </row>
    <row r="3104" spans="8:8" x14ac:dyDescent="0.35">
      <c r="H3104" s="36" t="s">
        <v>42</v>
      </c>
    </row>
    <row r="3105" spans="8:8" x14ac:dyDescent="0.35">
      <c r="H3105" s="36" t="s">
        <v>42</v>
      </c>
    </row>
    <row r="3106" spans="8:8" x14ac:dyDescent="0.35">
      <c r="H3106" s="36" t="s">
        <v>42</v>
      </c>
    </row>
    <row r="3107" spans="8:8" x14ac:dyDescent="0.35">
      <c r="H3107" s="36" t="s">
        <v>42</v>
      </c>
    </row>
    <row r="3108" spans="8:8" x14ac:dyDescent="0.35">
      <c r="H3108" s="36" t="s">
        <v>42</v>
      </c>
    </row>
    <row r="3109" spans="8:8" x14ac:dyDescent="0.35">
      <c r="H3109" s="36" t="s">
        <v>42</v>
      </c>
    </row>
    <row r="3110" spans="8:8" x14ac:dyDescent="0.35">
      <c r="H3110" s="36" t="s">
        <v>42</v>
      </c>
    </row>
    <row r="3111" spans="8:8" x14ac:dyDescent="0.35">
      <c r="H3111" s="36" t="s">
        <v>42</v>
      </c>
    </row>
    <row r="3112" spans="8:8" x14ac:dyDescent="0.35">
      <c r="H3112" s="36" t="s">
        <v>42</v>
      </c>
    </row>
    <row r="3113" spans="8:8" x14ac:dyDescent="0.35">
      <c r="H3113" s="36" t="s">
        <v>42</v>
      </c>
    </row>
    <row r="3114" spans="8:8" x14ac:dyDescent="0.35">
      <c r="H3114" s="36" t="s">
        <v>42</v>
      </c>
    </row>
    <row r="3115" spans="8:8" x14ac:dyDescent="0.35">
      <c r="H3115" s="36" t="s">
        <v>42</v>
      </c>
    </row>
    <row r="3116" spans="8:8" x14ac:dyDescent="0.35">
      <c r="H3116" s="36" t="s">
        <v>42</v>
      </c>
    </row>
    <row r="3117" spans="8:8" x14ac:dyDescent="0.35">
      <c r="H3117" s="36" t="s">
        <v>42</v>
      </c>
    </row>
    <row r="3118" spans="8:8" x14ac:dyDescent="0.35">
      <c r="H3118" s="36" t="s">
        <v>42</v>
      </c>
    </row>
    <row r="3119" spans="8:8" x14ac:dyDescent="0.35">
      <c r="H3119" s="36" t="s">
        <v>42</v>
      </c>
    </row>
    <row r="3120" spans="8:8" x14ac:dyDescent="0.35">
      <c r="H3120" s="36" t="s">
        <v>42</v>
      </c>
    </row>
    <row r="3121" spans="8:8" x14ac:dyDescent="0.35">
      <c r="H3121" s="36" t="s">
        <v>42</v>
      </c>
    </row>
    <row r="3122" spans="8:8" x14ac:dyDescent="0.35">
      <c r="H3122" s="36" t="s">
        <v>42</v>
      </c>
    </row>
    <row r="3123" spans="8:8" x14ac:dyDescent="0.35">
      <c r="H3123" s="36" t="s">
        <v>42</v>
      </c>
    </row>
    <row r="3124" spans="8:8" x14ac:dyDescent="0.35">
      <c r="H3124" s="36" t="s">
        <v>42</v>
      </c>
    </row>
    <row r="3125" spans="8:8" x14ac:dyDescent="0.35">
      <c r="H3125" s="36" t="s">
        <v>42</v>
      </c>
    </row>
    <row r="3126" spans="8:8" x14ac:dyDescent="0.35">
      <c r="H3126" s="36" t="s">
        <v>42</v>
      </c>
    </row>
    <row r="3127" spans="8:8" x14ac:dyDescent="0.35">
      <c r="H3127" s="36" t="s">
        <v>42</v>
      </c>
    </row>
    <row r="3128" spans="8:8" x14ac:dyDescent="0.35">
      <c r="H3128" s="36" t="s">
        <v>42</v>
      </c>
    </row>
    <row r="3129" spans="8:8" x14ac:dyDescent="0.35">
      <c r="H3129" s="36" t="s">
        <v>42</v>
      </c>
    </row>
    <row r="3130" spans="8:8" x14ac:dyDescent="0.35">
      <c r="H3130" s="36" t="s">
        <v>42</v>
      </c>
    </row>
    <row r="3131" spans="8:8" x14ac:dyDescent="0.35">
      <c r="H3131" s="36" t="s">
        <v>42</v>
      </c>
    </row>
    <row r="3132" spans="8:8" x14ac:dyDescent="0.35">
      <c r="H3132" s="36" t="s">
        <v>42</v>
      </c>
    </row>
    <row r="3133" spans="8:8" x14ac:dyDescent="0.35">
      <c r="H3133" s="36" t="s">
        <v>42</v>
      </c>
    </row>
    <row r="3134" spans="8:8" x14ac:dyDescent="0.35">
      <c r="H3134" s="36" t="s">
        <v>42</v>
      </c>
    </row>
    <row r="3135" spans="8:8" x14ac:dyDescent="0.35">
      <c r="H3135" s="36" t="s">
        <v>42</v>
      </c>
    </row>
    <row r="3136" spans="8:8" x14ac:dyDescent="0.35">
      <c r="H3136" s="36" t="s">
        <v>42</v>
      </c>
    </row>
    <row r="3137" spans="8:8" x14ac:dyDescent="0.35">
      <c r="H3137" s="36" t="s">
        <v>42</v>
      </c>
    </row>
    <row r="3138" spans="8:8" x14ac:dyDescent="0.35">
      <c r="H3138" s="36" t="s">
        <v>42</v>
      </c>
    </row>
    <row r="3139" spans="8:8" x14ac:dyDescent="0.35">
      <c r="H3139" s="36" t="s">
        <v>42</v>
      </c>
    </row>
    <row r="3140" spans="8:8" x14ac:dyDescent="0.35">
      <c r="H3140" s="36" t="s">
        <v>42</v>
      </c>
    </row>
    <row r="3141" spans="8:8" x14ac:dyDescent="0.35">
      <c r="H3141" s="36" t="s">
        <v>42</v>
      </c>
    </row>
    <row r="3142" spans="8:8" x14ac:dyDescent="0.35">
      <c r="H3142" s="36" t="s">
        <v>42</v>
      </c>
    </row>
    <row r="3143" spans="8:8" x14ac:dyDescent="0.35">
      <c r="H3143" s="36" t="s">
        <v>42</v>
      </c>
    </row>
    <row r="3144" spans="8:8" x14ac:dyDescent="0.35">
      <c r="H3144" s="36" t="s">
        <v>42</v>
      </c>
    </row>
    <row r="3145" spans="8:8" x14ac:dyDescent="0.35">
      <c r="H3145" s="36" t="s">
        <v>42</v>
      </c>
    </row>
    <row r="3146" spans="8:8" x14ac:dyDescent="0.35">
      <c r="H3146" s="36" t="s">
        <v>42</v>
      </c>
    </row>
    <row r="3147" spans="8:8" x14ac:dyDescent="0.35">
      <c r="H3147" s="36" t="s">
        <v>42</v>
      </c>
    </row>
    <row r="3148" spans="8:8" x14ac:dyDescent="0.35">
      <c r="H3148" s="36" t="s">
        <v>42</v>
      </c>
    </row>
    <row r="3149" spans="8:8" x14ac:dyDescent="0.35">
      <c r="H3149" s="36" t="s">
        <v>42</v>
      </c>
    </row>
    <row r="3150" spans="8:8" x14ac:dyDescent="0.35">
      <c r="H3150" s="36" t="s">
        <v>42</v>
      </c>
    </row>
    <row r="3151" spans="8:8" x14ac:dyDescent="0.35">
      <c r="H3151" s="36" t="s">
        <v>42</v>
      </c>
    </row>
    <row r="3152" spans="8:8" x14ac:dyDescent="0.35">
      <c r="H3152" s="36" t="s">
        <v>42</v>
      </c>
    </row>
    <row r="3153" spans="8:8" x14ac:dyDescent="0.35">
      <c r="H3153" s="36" t="s">
        <v>42</v>
      </c>
    </row>
    <row r="3154" spans="8:8" x14ac:dyDescent="0.35">
      <c r="H3154" s="36" t="s">
        <v>42</v>
      </c>
    </row>
    <row r="3155" spans="8:8" x14ac:dyDescent="0.35">
      <c r="H3155" s="36" t="s">
        <v>42</v>
      </c>
    </row>
    <row r="3156" spans="8:8" x14ac:dyDescent="0.35">
      <c r="H3156" s="36" t="s">
        <v>42</v>
      </c>
    </row>
    <row r="3157" spans="8:8" x14ac:dyDescent="0.35">
      <c r="H3157" s="36" t="s">
        <v>42</v>
      </c>
    </row>
    <row r="3158" spans="8:8" x14ac:dyDescent="0.35">
      <c r="H3158" s="36" t="s">
        <v>42</v>
      </c>
    </row>
    <row r="3159" spans="8:8" x14ac:dyDescent="0.35">
      <c r="H3159" s="36" t="s">
        <v>42</v>
      </c>
    </row>
    <row r="3160" spans="8:8" x14ac:dyDescent="0.35">
      <c r="H3160" s="36" t="s">
        <v>42</v>
      </c>
    </row>
    <row r="3161" spans="8:8" x14ac:dyDescent="0.35">
      <c r="H3161" s="36" t="s">
        <v>42</v>
      </c>
    </row>
    <row r="3162" spans="8:8" x14ac:dyDescent="0.35">
      <c r="H3162" s="36" t="s">
        <v>42</v>
      </c>
    </row>
    <row r="3163" spans="8:8" x14ac:dyDescent="0.35">
      <c r="H3163" s="36" t="s">
        <v>42</v>
      </c>
    </row>
    <row r="3164" spans="8:8" x14ac:dyDescent="0.35">
      <c r="H3164" s="36" t="s">
        <v>42</v>
      </c>
    </row>
    <row r="3165" spans="8:8" x14ac:dyDescent="0.35">
      <c r="H3165" s="36" t="s">
        <v>42</v>
      </c>
    </row>
    <row r="3166" spans="8:8" x14ac:dyDescent="0.35">
      <c r="H3166" s="36" t="s">
        <v>42</v>
      </c>
    </row>
    <row r="3167" spans="8:8" x14ac:dyDescent="0.35">
      <c r="H3167" s="36" t="s">
        <v>42</v>
      </c>
    </row>
    <row r="3168" spans="8:8" x14ac:dyDescent="0.35">
      <c r="H3168" s="36" t="s">
        <v>42</v>
      </c>
    </row>
    <row r="3169" spans="8:8" x14ac:dyDescent="0.35">
      <c r="H3169" s="36" t="s">
        <v>42</v>
      </c>
    </row>
    <row r="3170" spans="8:8" x14ac:dyDescent="0.35">
      <c r="H3170" s="36" t="s">
        <v>42</v>
      </c>
    </row>
    <row r="3171" spans="8:8" x14ac:dyDescent="0.35">
      <c r="H3171" s="36" t="s">
        <v>42</v>
      </c>
    </row>
    <row r="3172" spans="8:8" x14ac:dyDescent="0.35">
      <c r="H3172" s="36" t="s">
        <v>42</v>
      </c>
    </row>
    <row r="3173" spans="8:8" x14ac:dyDescent="0.35">
      <c r="H3173" s="36" t="s">
        <v>42</v>
      </c>
    </row>
    <row r="3174" spans="8:8" x14ac:dyDescent="0.35">
      <c r="H3174" s="36" t="s">
        <v>42</v>
      </c>
    </row>
    <row r="3175" spans="8:8" x14ac:dyDescent="0.35">
      <c r="H3175" s="36" t="s">
        <v>42</v>
      </c>
    </row>
    <row r="3176" spans="8:8" x14ac:dyDescent="0.35">
      <c r="H3176" s="36" t="s">
        <v>42</v>
      </c>
    </row>
    <row r="3177" spans="8:8" x14ac:dyDescent="0.35">
      <c r="H3177" s="36" t="s">
        <v>42</v>
      </c>
    </row>
    <row r="3178" spans="8:8" x14ac:dyDescent="0.35">
      <c r="H3178" s="36" t="s">
        <v>42</v>
      </c>
    </row>
    <row r="3179" spans="8:8" x14ac:dyDescent="0.35">
      <c r="H3179" s="36" t="s">
        <v>42</v>
      </c>
    </row>
    <row r="3180" spans="8:8" x14ac:dyDescent="0.35">
      <c r="H3180" s="36" t="s">
        <v>42</v>
      </c>
    </row>
    <row r="3181" spans="8:8" x14ac:dyDescent="0.35">
      <c r="H3181" s="36" t="s">
        <v>42</v>
      </c>
    </row>
    <row r="3182" spans="8:8" x14ac:dyDescent="0.35">
      <c r="H3182" s="36" t="s">
        <v>42</v>
      </c>
    </row>
    <row r="3183" spans="8:8" x14ac:dyDescent="0.35">
      <c r="H3183" s="36" t="s">
        <v>42</v>
      </c>
    </row>
    <row r="3184" spans="8:8" x14ac:dyDescent="0.35">
      <c r="H3184" s="36" t="s">
        <v>42</v>
      </c>
    </row>
    <row r="3185" spans="8:8" x14ac:dyDescent="0.35">
      <c r="H3185" s="36" t="s">
        <v>42</v>
      </c>
    </row>
    <row r="3186" spans="8:8" x14ac:dyDescent="0.35">
      <c r="H3186" s="36" t="s">
        <v>42</v>
      </c>
    </row>
    <row r="3187" spans="8:8" x14ac:dyDescent="0.35">
      <c r="H3187" s="36" t="s">
        <v>42</v>
      </c>
    </row>
    <row r="3188" spans="8:8" x14ac:dyDescent="0.35">
      <c r="H3188" s="36" t="s">
        <v>42</v>
      </c>
    </row>
    <row r="3189" spans="8:8" x14ac:dyDescent="0.35">
      <c r="H3189" s="36" t="s">
        <v>42</v>
      </c>
    </row>
    <row r="3190" spans="8:8" x14ac:dyDescent="0.35">
      <c r="H3190" s="36" t="s">
        <v>42</v>
      </c>
    </row>
    <row r="3191" spans="8:8" x14ac:dyDescent="0.35">
      <c r="H3191" s="36" t="s">
        <v>42</v>
      </c>
    </row>
    <row r="3192" spans="8:8" x14ac:dyDescent="0.35">
      <c r="H3192" s="36" t="s">
        <v>42</v>
      </c>
    </row>
    <row r="3193" spans="8:8" x14ac:dyDescent="0.35">
      <c r="H3193" s="36" t="s">
        <v>42</v>
      </c>
    </row>
    <row r="3194" spans="8:8" x14ac:dyDescent="0.35">
      <c r="H3194" s="36" t="s">
        <v>42</v>
      </c>
    </row>
    <row r="3195" spans="8:8" x14ac:dyDescent="0.35">
      <c r="H3195" s="36" t="s">
        <v>42</v>
      </c>
    </row>
    <row r="3196" spans="8:8" x14ac:dyDescent="0.35">
      <c r="H3196" s="36" t="s">
        <v>42</v>
      </c>
    </row>
    <row r="3197" spans="8:8" x14ac:dyDescent="0.35">
      <c r="H3197" s="36" t="s">
        <v>42</v>
      </c>
    </row>
    <row r="3198" spans="8:8" x14ac:dyDescent="0.35">
      <c r="H3198" s="36" t="s">
        <v>42</v>
      </c>
    </row>
    <row r="3199" spans="8:8" x14ac:dyDescent="0.35">
      <c r="H3199" s="36" t="s">
        <v>42</v>
      </c>
    </row>
    <row r="3200" spans="8:8" x14ac:dyDescent="0.35">
      <c r="H3200" s="36" t="s">
        <v>42</v>
      </c>
    </row>
    <row r="3201" spans="8:8" x14ac:dyDescent="0.35">
      <c r="H3201" s="36" t="s">
        <v>42</v>
      </c>
    </row>
    <row r="3202" spans="8:8" x14ac:dyDescent="0.35">
      <c r="H3202" s="36" t="s">
        <v>42</v>
      </c>
    </row>
    <row r="3203" spans="8:8" x14ac:dyDescent="0.35">
      <c r="H3203" s="36" t="s">
        <v>42</v>
      </c>
    </row>
    <row r="3204" spans="8:8" x14ac:dyDescent="0.35">
      <c r="H3204" s="36" t="s">
        <v>42</v>
      </c>
    </row>
    <row r="3205" spans="8:8" x14ac:dyDescent="0.35">
      <c r="H3205" s="36" t="s">
        <v>42</v>
      </c>
    </row>
    <row r="3206" spans="8:8" x14ac:dyDescent="0.35">
      <c r="H3206" s="36" t="s">
        <v>42</v>
      </c>
    </row>
    <row r="3207" spans="8:8" x14ac:dyDescent="0.35">
      <c r="H3207" s="36" t="s">
        <v>42</v>
      </c>
    </row>
    <row r="3208" spans="8:8" x14ac:dyDescent="0.35">
      <c r="H3208" s="36" t="s">
        <v>42</v>
      </c>
    </row>
    <row r="3209" spans="8:8" x14ac:dyDescent="0.35">
      <c r="H3209" s="36" t="s">
        <v>42</v>
      </c>
    </row>
    <row r="3210" spans="8:8" x14ac:dyDescent="0.35">
      <c r="H3210" s="36" t="s">
        <v>42</v>
      </c>
    </row>
    <row r="3211" spans="8:8" x14ac:dyDescent="0.35">
      <c r="H3211" s="36" t="s">
        <v>42</v>
      </c>
    </row>
    <row r="3212" spans="8:8" x14ac:dyDescent="0.35">
      <c r="H3212" s="36" t="s">
        <v>42</v>
      </c>
    </row>
    <row r="3213" spans="8:8" x14ac:dyDescent="0.35">
      <c r="H3213" s="36" t="s">
        <v>42</v>
      </c>
    </row>
    <row r="3214" spans="8:8" x14ac:dyDescent="0.35">
      <c r="H3214" s="36" t="s">
        <v>42</v>
      </c>
    </row>
    <row r="3215" spans="8:8" x14ac:dyDescent="0.35">
      <c r="H3215" s="36" t="s">
        <v>42</v>
      </c>
    </row>
    <row r="3216" spans="8:8" x14ac:dyDescent="0.35">
      <c r="H3216" s="36" t="s">
        <v>42</v>
      </c>
    </row>
    <row r="3217" spans="8:8" x14ac:dyDescent="0.35">
      <c r="H3217" s="36" t="s">
        <v>42</v>
      </c>
    </row>
    <row r="3218" spans="8:8" x14ac:dyDescent="0.35">
      <c r="H3218" s="36" t="s">
        <v>42</v>
      </c>
    </row>
    <row r="3219" spans="8:8" x14ac:dyDescent="0.35">
      <c r="H3219" s="36" t="s">
        <v>42</v>
      </c>
    </row>
    <row r="3220" spans="8:8" x14ac:dyDescent="0.35">
      <c r="H3220" s="36" t="s">
        <v>42</v>
      </c>
    </row>
    <row r="3221" spans="8:8" x14ac:dyDescent="0.35">
      <c r="H3221" s="36" t="s">
        <v>42</v>
      </c>
    </row>
    <row r="3222" spans="8:8" x14ac:dyDescent="0.35">
      <c r="H3222" s="36" t="s">
        <v>42</v>
      </c>
    </row>
    <row r="3223" spans="8:8" x14ac:dyDescent="0.35">
      <c r="H3223" s="36" t="s">
        <v>42</v>
      </c>
    </row>
    <row r="3224" spans="8:8" x14ac:dyDescent="0.35">
      <c r="H3224" s="36" t="s">
        <v>42</v>
      </c>
    </row>
    <row r="3225" spans="8:8" x14ac:dyDescent="0.35">
      <c r="H3225" s="36" t="s">
        <v>42</v>
      </c>
    </row>
    <row r="3226" spans="8:8" x14ac:dyDescent="0.35">
      <c r="H3226" s="36" t="s">
        <v>42</v>
      </c>
    </row>
    <row r="3227" spans="8:8" x14ac:dyDescent="0.35">
      <c r="H3227" s="36" t="s">
        <v>42</v>
      </c>
    </row>
    <row r="3228" spans="8:8" x14ac:dyDescent="0.35">
      <c r="H3228" s="36" t="s">
        <v>42</v>
      </c>
    </row>
    <row r="3229" spans="8:8" x14ac:dyDescent="0.35">
      <c r="H3229" s="36" t="s">
        <v>42</v>
      </c>
    </row>
    <row r="3230" spans="8:8" x14ac:dyDescent="0.35">
      <c r="H3230" s="36" t="s">
        <v>42</v>
      </c>
    </row>
    <row r="3231" spans="8:8" x14ac:dyDescent="0.35">
      <c r="H3231" s="36" t="s">
        <v>42</v>
      </c>
    </row>
    <row r="3232" spans="8:8" x14ac:dyDescent="0.35">
      <c r="H3232" s="36" t="s">
        <v>42</v>
      </c>
    </row>
    <row r="3233" spans="8:8" x14ac:dyDescent="0.35">
      <c r="H3233" s="36" t="s">
        <v>42</v>
      </c>
    </row>
    <row r="3234" spans="8:8" x14ac:dyDescent="0.35">
      <c r="H3234" s="36" t="s">
        <v>42</v>
      </c>
    </row>
    <row r="3235" spans="8:8" x14ac:dyDescent="0.35">
      <c r="H3235" s="36" t="s">
        <v>42</v>
      </c>
    </row>
    <row r="3236" spans="8:8" x14ac:dyDescent="0.35">
      <c r="H3236" s="36" t="s">
        <v>42</v>
      </c>
    </row>
    <row r="3237" spans="8:8" x14ac:dyDescent="0.35">
      <c r="H3237" s="36" t="s">
        <v>42</v>
      </c>
    </row>
    <row r="3238" spans="8:8" x14ac:dyDescent="0.35">
      <c r="H3238" s="36" t="s">
        <v>42</v>
      </c>
    </row>
    <row r="3239" spans="8:8" x14ac:dyDescent="0.35">
      <c r="H3239" s="36" t="s">
        <v>42</v>
      </c>
    </row>
    <row r="3240" spans="8:8" x14ac:dyDescent="0.35">
      <c r="H3240" s="36" t="s">
        <v>42</v>
      </c>
    </row>
    <row r="3241" spans="8:8" x14ac:dyDescent="0.35">
      <c r="H3241" s="36" t="s">
        <v>42</v>
      </c>
    </row>
    <row r="3242" spans="8:8" x14ac:dyDescent="0.35">
      <c r="H3242" s="36" t="s">
        <v>42</v>
      </c>
    </row>
    <row r="3243" spans="8:8" x14ac:dyDescent="0.35">
      <c r="H3243" s="36" t="s">
        <v>42</v>
      </c>
    </row>
    <row r="3244" spans="8:8" x14ac:dyDescent="0.35">
      <c r="H3244" s="36" t="s">
        <v>42</v>
      </c>
    </row>
    <row r="3245" spans="8:8" x14ac:dyDescent="0.35">
      <c r="H3245" s="36" t="s">
        <v>42</v>
      </c>
    </row>
    <row r="3246" spans="8:8" x14ac:dyDescent="0.35">
      <c r="H3246" s="36" t="s">
        <v>42</v>
      </c>
    </row>
    <row r="3247" spans="8:8" x14ac:dyDescent="0.35">
      <c r="H3247" s="36" t="s">
        <v>42</v>
      </c>
    </row>
    <row r="3248" spans="8:8" x14ac:dyDescent="0.35">
      <c r="H3248" s="36" t="s">
        <v>42</v>
      </c>
    </row>
    <row r="3249" spans="8:8" x14ac:dyDescent="0.35">
      <c r="H3249" s="36" t="s">
        <v>42</v>
      </c>
    </row>
    <row r="3250" spans="8:8" x14ac:dyDescent="0.35">
      <c r="H3250" s="36" t="s">
        <v>42</v>
      </c>
    </row>
    <row r="3251" spans="8:8" x14ac:dyDescent="0.35">
      <c r="H3251" s="36" t="s">
        <v>42</v>
      </c>
    </row>
    <row r="3252" spans="8:8" x14ac:dyDescent="0.35">
      <c r="H3252" s="36" t="s">
        <v>42</v>
      </c>
    </row>
    <row r="3253" spans="8:8" x14ac:dyDescent="0.35">
      <c r="H3253" s="36" t="s">
        <v>42</v>
      </c>
    </row>
    <row r="3254" spans="8:8" x14ac:dyDescent="0.35">
      <c r="H3254" s="36" t="s">
        <v>42</v>
      </c>
    </row>
    <row r="3255" spans="8:8" x14ac:dyDescent="0.35">
      <c r="H3255" s="36" t="s">
        <v>42</v>
      </c>
    </row>
    <row r="3256" spans="8:8" x14ac:dyDescent="0.35">
      <c r="H3256" s="36" t="s">
        <v>42</v>
      </c>
    </row>
    <row r="3257" spans="8:8" x14ac:dyDescent="0.35">
      <c r="H3257" s="36" t="s">
        <v>42</v>
      </c>
    </row>
    <row r="3258" spans="8:8" x14ac:dyDescent="0.35">
      <c r="H3258" s="36" t="s">
        <v>42</v>
      </c>
    </row>
    <row r="3259" spans="8:8" x14ac:dyDescent="0.35">
      <c r="H3259" s="36" t="s">
        <v>42</v>
      </c>
    </row>
    <row r="3260" spans="8:8" x14ac:dyDescent="0.35">
      <c r="H3260" s="36" t="s">
        <v>42</v>
      </c>
    </row>
    <row r="3261" spans="8:8" x14ac:dyDescent="0.35">
      <c r="H3261" s="36" t="s">
        <v>42</v>
      </c>
    </row>
    <row r="3262" spans="8:8" x14ac:dyDescent="0.35">
      <c r="H3262" s="36" t="s">
        <v>42</v>
      </c>
    </row>
    <row r="3263" spans="8:8" x14ac:dyDescent="0.35">
      <c r="H3263" s="36" t="s">
        <v>42</v>
      </c>
    </row>
    <row r="3264" spans="8:8" x14ac:dyDescent="0.35">
      <c r="H3264" s="36" t="s">
        <v>42</v>
      </c>
    </row>
    <row r="3265" spans="8:8" x14ac:dyDescent="0.35">
      <c r="H3265" s="36" t="s">
        <v>42</v>
      </c>
    </row>
    <row r="3266" spans="8:8" x14ac:dyDescent="0.35">
      <c r="H3266" s="36" t="s">
        <v>42</v>
      </c>
    </row>
    <row r="3267" spans="8:8" x14ac:dyDescent="0.35">
      <c r="H3267" s="36" t="s">
        <v>42</v>
      </c>
    </row>
    <row r="3268" spans="8:8" x14ac:dyDescent="0.35">
      <c r="H3268" s="36" t="s">
        <v>42</v>
      </c>
    </row>
    <row r="3269" spans="8:8" x14ac:dyDescent="0.35">
      <c r="H3269" s="36" t="s">
        <v>42</v>
      </c>
    </row>
    <row r="3270" spans="8:8" x14ac:dyDescent="0.35">
      <c r="H3270" s="36" t="s">
        <v>42</v>
      </c>
    </row>
    <row r="3271" spans="8:8" x14ac:dyDescent="0.35">
      <c r="H3271" s="36" t="s">
        <v>42</v>
      </c>
    </row>
    <row r="3272" spans="8:8" x14ac:dyDescent="0.35">
      <c r="H3272" s="36" t="s">
        <v>42</v>
      </c>
    </row>
    <row r="3273" spans="8:8" x14ac:dyDescent="0.35">
      <c r="H3273" s="36" t="s">
        <v>42</v>
      </c>
    </row>
    <row r="3274" spans="8:8" x14ac:dyDescent="0.35">
      <c r="H3274" s="36" t="s">
        <v>42</v>
      </c>
    </row>
    <row r="3275" spans="8:8" x14ac:dyDescent="0.35">
      <c r="H3275" s="36" t="s">
        <v>42</v>
      </c>
    </row>
    <row r="3276" spans="8:8" x14ac:dyDescent="0.35">
      <c r="H3276" s="36" t="s">
        <v>42</v>
      </c>
    </row>
    <row r="3277" spans="8:8" x14ac:dyDescent="0.35">
      <c r="H3277" s="36" t="s">
        <v>42</v>
      </c>
    </row>
    <row r="3278" spans="8:8" x14ac:dyDescent="0.35">
      <c r="H3278" s="36" t="s">
        <v>42</v>
      </c>
    </row>
    <row r="3279" spans="8:8" x14ac:dyDescent="0.35">
      <c r="H3279" s="36" t="s">
        <v>42</v>
      </c>
    </row>
    <row r="3280" spans="8:8" x14ac:dyDescent="0.35">
      <c r="H3280" s="36" t="s">
        <v>42</v>
      </c>
    </row>
    <row r="3281" spans="8:8" x14ac:dyDescent="0.35">
      <c r="H3281" s="36" t="s">
        <v>42</v>
      </c>
    </row>
    <row r="3282" spans="8:8" x14ac:dyDescent="0.35">
      <c r="H3282" s="36" t="s">
        <v>42</v>
      </c>
    </row>
    <row r="3283" spans="8:8" x14ac:dyDescent="0.35">
      <c r="H3283" s="36" t="s">
        <v>42</v>
      </c>
    </row>
    <row r="3284" spans="8:8" x14ac:dyDescent="0.35">
      <c r="H3284" s="36" t="s">
        <v>42</v>
      </c>
    </row>
    <row r="3285" spans="8:8" x14ac:dyDescent="0.35">
      <c r="H3285" s="36" t="s">
        <v>42</v>
      </c>
    </row>
    <row r="3286" spans="8:8" x14ac:dyDescent="0.35">
      <c r="H3286" s="36" t="s">
        <v>42</v>
      </c>
    </row>
    <row r="3287" spans="8:8" x14ac:dyDescent="0.35">
      <c r="H3287" s="36" t="s">
        <v>42</v>
      </c>
    </row>
    <row r="3288" spans="8:8" x14ac:dyDescent="0.35">
      <c r="H3288" s="36" t="s">
        <v>42</v>
      </c>
    </row>
    <row r="3289" spans="8:8" x14ac:dyDescent="0.35">
      <c r="H3289" s="36" t="s">
        <v>42</v>
      </c>
    </row>
    <row r="3290" spans="8:8" x14ac:dyDescent="0.35">
      <c r="H3290" s="36" t="s">
        <v>42</v>
      </c>
    </row>
    <row r="3291" spans="8:8" x14ac:dyDescent="0.35">
      <c r="H3291" s="36" t="s">
        <v>42</v>
      </c>
    </row>
    <row r="3292" spans="8:8" x14ac:dyDescent="0.35">
      <c r="H3292" s="36" t="s">
        <v>42</v>
      </c>
    </row>
    <row r="3293" spans="8:8" x14ac:dyDescent="0.35">
      <c r="H3293" s="36" t="s">
        <v>42</v>
      </c>
    </row>
    <row r="3294" spans="8:8" x14ac:dyDescent="0.35">
      <c r="H3294" s="36" t="s">
        <v>42</v>
      </c>
    </row>
    <row r="3295" spans="8:8" x14ac:dyDescent="0.35">
      <c r="H3295" s="36" t="s">
        <v>42</v>
      </c>
    </row>
    <row r="3296" spans="8:8" x14ac:dyDescent="0.35">
      <c r="H3296" s="36" t="s">
        <v>42</v>
      </c>
    </row>
    <row r="3297" spans="8:8" x14ac:dyDescent="0.35">
      <c r="H3297" s="36" t="s">
        <v>42</v>
      </c>
    </row>
    <row r="3298" spans="8:8" x14ac:dyDescent="0.35">
      <c r="H3298" s="36" t="s">
        <v>42</v>
      </c>
    </row>
    <row r="3299" spans="8:8" x14ac:dyDescent="0.35">
      <c r="H3299" s="36" t="s">
        <v>42</v>
      </c>
    </row>
    <row r="3300" spans="8:8" x14ac:dyDescent="0.35">
      <c r="H3300" s="36" t="s">
        <v>42</v>
      </c>
    </row>
    <row r="3301" spans="8:8" x14ac:dyDescent="0.35">
      <c r="H3301" s="36" t="s">
        <v>42</v>
      </c>
    </row>
    <row r="3302" spans="8:8" x14ac:dyDescent="0.35">
      <c r="H3302" s="36" t="s">
        <v>42</v>
      </c>
    </row>
    <row r="3303" spans="8:8" x14ac:dyDescent="0.35">
      <c r="H3303" s="36" t="s">
        <v>42</v>
      </c>
    </row>
    <row r="3304" spans="8:8" x14ac:dyDescent="0.35">
      <c r="H3304" s="36" t="s">
        <v>42</v>
      </c>
    </row>
    <row r="3305" spans="8:8" x14ac:dyDescent="0.35">
      <c r="H3305" s="36" t="s">
        <v>42</v>
      </c>
    </row>
    <row r="3306" spans="8:8" x14ac:dyDescent="0.35">
      <c r="H3306" s="36" t="s">
        <v>42</v>
      </c>
    </row>
    <row r="3307" spans="8:8" x14ac:dyDescent="0.35">
      <c r="H3307" s="36" t="s">
        <v>42</v>
      </c>
    </row>
    <row r="3308" spans="8:8" x14ac:dyDescent="0.35">
      <c r="H3308" s="36" t="s">
        <v>42</v>
      </c>
    </row>
    <row r="3309" spans="8:8" x14ac:dyDescent="0.35">
      <c r="H3309" s="36" t="s">
        <v>42</v>
      </c>
    </row>
    <row r="3310" spans="8:8" x14ac:dyDescent="0.35">
      <c r="H3310" s="36" t="s">
        <v>42</v>
      </c>
    </row>
    <row r="3311" spans="8:8" x14ac:dyDescent="0.35">
      <c r="H3311" s="36" t="s">
        <v>42</v>
      </c>
    </row>
    <row r="3312" spans="8:8" x14ac:dyDescent="0.35">
      <c r="H3312" s="36" t="s">
        <v>42</v>
      </c>
    </row>
    <row r="3313" spans="8:8" x14ac:dyDescent="0.35">
      <c r="H3313" s="36" t="s">
        <v>42</v>
      </c>
    </row>
    <row r="3314" spans="8:8" x14ac:dyDescent="0.35">
      <c r="H3314" s="36" t="s">
        <v>42</v>
      </c>
    </row>
    <row r="3315" spans="8:8" x14ac:dyDescent="0.35">
      <c r="H3315" s="36" t="s">
        <v>42</v>
      </c>
    </row>
    <row r="3316" spans="8:8" x14ac:dyDescent="0.35">
      <c r="H3316" s="36" t="s">
        <v>42</v>
      </c>
    </row>
    <row r="3317" spans="8:8" x14ac:dyDescent="0.35">
      <c r="H3317" s="36" t="s">
        <v>42</v>
      </c>
    </row>
    <row r="3318" spans="8:8" x14ac:dyDescent="0.35">
      <c r="H3318" s="36" t="s">
        <v>42</v>
      </c>
    </row>
    <row r="3319" spans="8:8" x14ac:dyDescent="0.35">
      <c r="H3319" s="36" t="s">
        <v>42</v>
      </c>
    </row>
    <row r="3320" spans="8:8" x14ac:dyDescent="0.35">
      <c r="H3320" s="36" t="s">
        <v>42</v>
      </c>
    </row>
    <row r="3321" spans="8:8" x14ac:dyDescent="0.35">
      <c r="H3321" s="36" t="s">
        <v>42</v>
      </c>
    </row>
    <row r="3322" spans="8:8" x14ac:dyDescent="0.35">
      <c r="H3322" s="36" t="s">
        <v>42</v>
      </c>
    </row>
    <row r="3323" spans="8:8" x14ac:dyDescent="0.35">
      <c r="H3323" s="36" t="s">
        <v>42</v>
      </c>
    </row>
    <row r="3324" spans="8:8" x14ac:dyDescent="0.35">
      <c r="H3324" s="36" t="s">
        <v>42</v>
      </c>
    </row>
    <row r="3325" spans="8:8" x14ac:dyDescent="0.35">
      <c r="H3325" s="36" t="s">
        <v>42</v>
      </c>
    </row>
    <row r="3326" spans="8:8" x14ac:dyDescent="0.35">
      <c r="H3326" s="36" t="s">
        <v>42</v>
      </c>
    </row>
    <row r="3327" spans="8:8" x14ac:dyDescent="0.35">
      <c r="H3327" s="36" t="s">
        <v>42</v>
      </c>
    </row>
    <row r="3328" spans="8:8" x14ac:dyDescent="0.35">
      <c r="H3328" s="36" t="s">
        <v>42</v>
      </c>
    </row>
    <row r="3329" spans="8:8" x14ac:dyDescent="0.35">
      <c r="H3329" s="36" t="s">
        <v>42</v>
      </c>
    </row>
    <row r="3330" spans="8:8" x14ac:dyDescent="0.35">
      <c r="H3330" s="36" t="s">
        <v>42</v>
      </c>
    </row>
    <row r="3331" spans="8:8" x14ac:dyDescent="0.35">
      <c r="H3331" s="36" t="s">
        <v>42</v>
      </c>
    </row>
    <row r="3332" spans="8:8" x14ac:dyDescent="0.35">
      <c r="H3332" s="36" t="s">
        <v>42</v>
      </c>
    </row>
    <row r="3333" spans="8:8" x14ac:dyDescent="0.35">
      <c r="H3333" s="36" t="s">
        <v>42</v>
      </c>
    </row>
    <row r="3334" spans="8:8" x14ac:dyDescent="0.35">
      <c r="H3334" s="36" t="s">
        <v>42</v>
      </c>
    </row>
    <row r="3335" spans="8:8" x14ac:dyDescent="0.35">
      <c r="H3335" s="36" t="s">
        <v>42</v>
      </c>
    </row>
    <row r="3336" spans="8:8" x14ac:dyDescent="0.35">
      <c r="H3336" s="36" t="s">
        <v>42</v>
      </c>
    </row>
    <row r="3337" spans="8:8" x14ac:dyDescent="0.35">
      <c r="H3337" s="36" t="s">
        <v>42</v>
      </c>
    </row>
    <row r="3338" spans="8:8" x14ac:dyDescent="0.35">
      <c r="H3338" s="36" t="s">
        <v>42</v>
      </c>
    </row>
    <row r="3339" spans="8:8" x14ac:dyDescent="0.35">
      <c r="H3339" s="36" t="s">
        <v>42</v>
      </c>
    </row>
    <row r="3340" spans="8:8" x14ac:dyDescent="0.35">
      <c r="H3340" s="36" t="s">
        <v>42</v>
      </c>
    </row>
    <row r="3341" spans="8:8" x14ac:dyDescent="0.35">
      <c r="H3341" s="36" t="s">
        <v>42</v>
      </c>
    </row>
    <row r="3342" spans="8:8" x14ac:dyDescent="0.35">
      <c r="H3342" s="36" t="s">
        <v>42</v>
      </c>
    </row>
    <row r="3343" spans="8:8" x14ac:dyDescent="0.35">
      <c r="H3343" s="36" t="s">
        <v>42</v>
      </c>
    </row>
    <row r="3344" spans="8:8" x14ac:dyDescent="0.35">
      <c r="H3344" s="36" t="s">
        <v>42</v>
      </c>
    </row>
    <row r="3345" spans="8:8" x14ac:dyDescent="0.35">
      <c r="H3345" s="36" t="s">
        <v>42</v>
      </c>
    </row>
    <row r="3346" spans="8:8" x14ac:dyDescent="0.35">
      <c r="H3346" s="36" t="s">
        <v>42</v>
      </c>
    </row>
    <row r="3347" spans="8:8" x14ac:dyDescent="0.35">
      <c r="H3347" s="36" t="s">
        <v>42</v>
      </c>
    </row>
    <row r="3348" spans="8:8" x14ac:dyDescent="0.35">
      <c r="H3348" s="36" t="s">
        <v>42</v>
      </c>
    </row>
    <row r="3349" spans="8:8" x14ac:dyDescent="0.35">
      <c r="H3349" s="36" t="s">
        <v>42</v>
      </c>
    </row>
    <row r="3350" spans="8:8" x14ac:dyDescent="0.35">
      <c r="H3350" s="36" t="s">
        <v>42</v>
      </c>
    </row>
    <row r="3351" spans="8:8" x14ac:dyDescent="0.35">
      <c r="H3351" s="36" t="s">
        <v>42</v>
      </c>
    </row>
    <row r="3352" spans="8:8" x14ac:dyDescent="0.35">
      <c r="H3352" s="36" t="s">
        <v>42</v>
      </c>
    </row>
    <row r="3353" spans="8:8" x14ac:dyDescent="0.35">
      <c r="H3353" s="36" t="s">
        <v>42</v>
      </c>
    </row>
    <row r="3354" spans="8:8" x14ac:dyDescent="0.35">
      <c r="H3354" s="36" t="s">
        <v>42</v>
      </c>
    </row>
    <row r="3355" spans="8:8" x14ac:dyDescent="0.35">
      <c r="H3355" s="36" t="s">
        <v>42</v>
      </c>
    </row>
    <row r="3356" spans="8:8" x14ac:dyDescent="0.35">
      <c r="H3356" s="36" t="s">
        <v>42</v>
      </c>
    </row>
    <row r="3357" spans="8:8" x14ac:dyDescent="0.35">
      <c r="H3357" s="36" t="s">
        <v>42</v>
      </c>
    </row>
    <row r="3358" spans="8:8" x14ac:dyDescent="0.35">
      <c r="H3358" s="36" t="s">
        <v>42</v>
      </c>
    </row>
    <row r="3359" spans="8:8" x14ac:dyDescent="0.35">
      <c r="H3359" s="36" t="s">
        <v>42</v>
      </c>
    </row>
    <row r="3360" spans="8:8" x14ac:dyDescent="0.35">
      <c r="H3360" s="36" t="s">
        <v>42</v>
      </c>
    </row>
    <row r="3361" spans="8:8" x14ac:dyDescent="0.35">
      <c r="H3361" s="36" t="s">
        <v>42</v>
      </c>
    </row>
    <row r="3362" spans="8:8" x14ac:dyDescent="0.35">
      <c r="H3362" s="36" t="s">
        <v>42</v>
      </c>
    </row>
    <row r="3363" spans="8:8" x14ac:dyDescent="0.35">
      <c r="H3363" s="36" t="s">
        <v>42</v>
      </c>
    </row>
    <row r="3364" spans="8:8" x14ac:dyDescent="0.35">
      <c r="H3364" s="36" t="s">
        <v>42</v>
      </c>
    </row>
    <row r="3365" spans="8:8" x14ac:dyDescent="0.35">
      <c r="H3365" s="36" t="s">
        <v>42</v>
      </c>
    </row>
    <row r="3366" spans="8:8" x14ac:dyDescent="0.35">
      <c r="H3366" s="36" t="s">
        <v>42</v>
      </c>
    </row>
    <row r="3367" spans="8:8" x14ac:dyDescent="0.35">
      <c r="H3367" s="36" t="s">
        <v>42</v>
      </c>
    </row>
    <row r="3368" spans="8:8" x14ac:dyDescent="0.35">
      <c r="H3368" s="36" t="s">
        <v>42</v>
      </c>
    </row>
    <row r="3369" spans="8:8" x14ac:dyDescent="0.35">
      <c r="H3369" s="36" t="s">
        <v>42</v>
      </c>
    </row>
    <row r="3370" spans="8:8" x14ac:dyDescent="0.35">
      <c r="H3370" s="36" t="s">
        <v>42</v>
      </c>
    </row>
    <row r="3371" spans="8:8" x14ac:dyDescent="0.35">
      <c r="H3371" s="36" t="s">
        <v>42</v>
      </c>
    </row>
    <row r="3372" spans="8:8" x14ac:dyDescent="0.35">
      <c r="H3372" s="36" t="s">
        <v>42</v>
      </c>
    </row>
    <row r="3373" spans="8:8" x14ac:dyDescent="0.35">
      <c r="H3373" s="36" t="s">
        <v>42</v>
      </c>
    </row>
    <row r="3374" spans="8:8" x14ac:dyDescent="0.35">
      <c r="H3374" s="36" t="s">
        <v>42</v>
      </c>
    </row>
    <row r="3375" spans="8:8" x14ac:dyDescent="0.35">
      <c r="H3375" s="36" t="s">
        <v>42</v>
      </c>
    </row>
    <row r="3376" spans="8:8" x14ac:dyDescent="0.35">
      <c r="H3376" s="36" t="s">
        <v>42</v>
      </c>
    </row>
    <row r="3377" spans="8:8" x14ac:dyDescent="0.35">
      <c r="H3377" s="36" t="s">
        <v>42</v>
      </c>
    </row>
    <row r="3378" spans="8:8" x14ac:dyDescent="0.35">
      <c r="H3378" s="36" t="s">
        <v>42</v>
      </c>
    </row>
    <row r="3379" spans="8:8" x14ac:dyDescent="0.35">
      <c r="H3379" s="36" t="s">
        <v>42</v>
      </c>
    </row>
    <row r="3380" spans="8:8" x14ac:dyDescent="0.35">
      <c r="H3380" s="36" t="s">
        <v>42</v>
      </c>
    </row>
    <row r="3381" spans="8:8" x14ac:dyDescent="0.35">
      <c r="H3381" s="36" t="s">
        <v>42</v>
      </c>
    </row>
    <row r="3382" spans="8:8" x14ac:dyDescent="0.35">
      <c r="H3382" s="36" t="s">
        <v>42</v>
      </c>
    </row>
    <row r="3383" spans="8:8" x14ac:dyDescent="0.35">
      <c r="H3383" s="36" t="s">
        <v>42</v>
      </c>
    </row>
    <row r="3384" spans="8:8" x14ac:dyDescent="0.35">
      <c r="H3384" s="36" t="s">
        <v>42</v>
      </c>
    </row>
    <row r="3385" spans="8:8" x14ac:dyDescent="0.35">
      <c r="H3385" s="36" t="s">
        <v>42</v>
      </c>
    </row>
    <row r="3386" spans="8:8" x14ac:dyDescent="0.35">
      <c r="H3386" s="36" t="s">
        <v>42</v>
      </c>
    </row>
    <row r="3387" spans="8:8" x14ac:dyDescent="0.35">
      <c r="H3387" s="36" t="s">
        <v>42</v>
      </c>
    </row>
    <row r="3388" spans="8:8" x14ac:dyDescent="0.35">
      <c r="H3388" s="36" t="s">
        <v>42</v>
      </c>
    </row>
    <row r="3389" spans="8:8" x14ac:dyDescent="0.35">
      <c r="H3389" s="36" t="s">
        <v>42</v>
      </c>
    </row>
    <row r="3390" spans="8:8" x14ac:dyDescent="0.35">
      <c r="H3390" s="36" t="s">
        <v>42</v>
      </c>
    </row>
    <row r="3391" spans="8:8" x14ac:dyDescent="0.35">
      <c r="H3391" s="36" t="s">
        <v>42</v>
      </c>
    </row>
    <row r="3392" spans="8:8" x14ac:dyDescent="0.35">
      <c r="H3392" s="36" t="s">
        <v>42</v>
      </c>
    </row>
    <row r="3393" spans="8:8" x14ac:dyDescent="0.35">
      <c r="H3393" s="36" t="s">
        <v>42</v>
      </c>
    </row>
    <row r="3394" spans="8:8" x14ac:dyDescent="0.35">
      <c r="H3394" s="36" t="s">
        <v>42</v>
      </c>
    </row>
    <row r="3395" spans="8:8" x14ac:dyDescent="0.35">
      <c r="H3395" s="36" t="s">
        <v>42</v>
      </c>
    </row>
    <row r="3396" spans="8:8" x14ac:dyDescent="0.35">
      <c r="H3396" s="36" t="s">
        <v>42</v>
      </c>
    </row>
    <row r="3397" spans="8:8" x14ac:dyDescent="0.35">
      <c r="H3397" s="36" t="s">
        <v>42</v>
      </c>
    </row>
    <row r="3398" spans="8:8" x14ac:dyDescent="0.35">
      <c r="H3398" s="36" t="s">
        <v>42</v>
      </c>
    </row>
    <row r="3399" spans="8:8" x14ac:dyDescent="0.35">
      <c r="H3399" s="36" t="s">
        <v>42</v>
      </c>
    </row>
    <row r="3400" spans="8:8" x14ac:dyDescent="0.35">
      <c r="H3400" s="36" t="s">
        <v>42</v>
      </c>
    </row>
    <row r="3401" spans="8:8" x14ac:dyDescent="0.35">
      <c r="H3401" s="36" t="s">
        <v>42</v>
      </c>
    </row>
    <row r="3402" spans="8:8" x14ac:dyDescent="0.35">
      <c r="H3402" s="36" t="s">
        <v>42</v>
      </c>
    </row>
    <row r="3403" spans="8:8" x14ac:dyDescent="0.35">
      <c r="H3403" s="36" t="s">
        <v>42</v>
      </c>
    </row>
    <row r="3404" spans="8:8" x14ac:dyDescent="0.35">
      <c r="H3404" s="36" t="s">
        <v>42</v>
      </c>
    </row>
    <row r="3405" spans="8:8" x14ac:dyDescent="0.35">
      <c r="H3405" s="36" t="s">
        <v>42</v>
      </c>
    </row>
    <row r="3406" spans="8:8" x14ac:dyDescent="0.35">
      <c r="H3406" s="36" t="s">
        <v>42</v>
      </c>
    </row>
    <row r="3407" spans="8:8" x14ac:dyDescent="0.35">
      <c r="H3407" s="36" t="s">
        <v>42</v>
      </c>
    </row>
    <row r="3408" spans="8:8" x14ac:dyDescent="0.35">
      <c r="H3408" s="36" t="s">
        <v>42</v>
      </c>
    </row>
    <row r="3409" spans="8:8" x14ac:dyDescent="0.35">
      <c r="H3409" s="36" t="s">
        <v>42</v>
      </c>
    </row>
    <row r="3410" spans="8:8" x14ac:dyDescent="0.35">
      <c r="H3410" s="36" t="s">
        <v>42</v>
      </c>
    </row>
    <row r="3411" spans="8:8" x14ac:dyDescent="0.35">
      <c r="H3411" s="36" t="s">
        <v>42</v>
      </c>
    </row>
    <row r="3412" spans="8:8" x14ac:dyDescent="0.35">
      <c r="H3412" s="36" t="s">
        <v>42</v>
      </c>
    </row>
    <row r="3413" spans="8:8" x14ac:dyDescent="0.35">
      <c r="H3413" s="36" t="s">
        <v>42</v>
      </c>
    </row>
    <row r="3414" spans="8:8" x14ac:dyDescent="0.35">
      <c r="H3414" s="36" t="s">
        <v>42</v>
      </c>
    </row>
    <row r="3415" spans="8:8" x14ac:dyDescent="0.35">
      <c r="H3415" s="36" t="s">
        <v>42</v>
      </c>
    </row>
    <row r="3416" spans="8:8" x14ac:dyDescent="0.35">
      <c r="H3416" s="36" t="s">
        <v>42</v>
      </c>
    </row>
    <row r="3417" spans="8:8" x14ac:dyDescent="0.35">
      <c r="H3417" s="36" t="s">
        <v>42</v>
      </c>
    </row>
    <row r="3418" spans="8:8" x14ac:dyDescent="0.35">
      <c r="H3418" s="36" t="s">
        <v>42</v>
      </c>
    </row>
    <row r="3419" spans="8:8" x14ac:dyDescent="0.35">
      <c r="H3419" s="36" t="s">
        <v>42</v>
      </c>
    </row>
    <row r="3420" spans="8:8" x14ac:dyDescent="0.35">
      <c r="H3420" s="36" t="s">
        <v>42</v>
      </c>
    </row>
    <row r="3421" spans="8:8" x14ac:dyDescent="0.35">
      <c r="H3421" s="36" t="s">
        <v>42</v>
      </c>
    </row>
    <row r="3422" spans="8:8" x14ac:dyDescent="0.35">
      <c r="H3422" s="36" t="s">
        <v>42</v>
      </c>
    </row>
    <row r="3423" spans="8:8" x14ac:dyDescent="0.35">
      <c r="H3423" s="36" t="s">
        <v>42</v>
      </c>
    </row>
    <row r="3424" spans="8:8" x14ac:dyDescent="0.35">
      <c r="H3424" s="36" t="s">
        <v>42</v>
      </c>
    </row>
    <row r="3425" spans="8:8" x14ac:dyDescent="0.35">
      <c r="H3425" s="36" t="s">
        <v>42</v>
      </c>
    </row>
    <row r="3426" spans="8:8" x14ac:dyDescent="0.35">
      <c r="H3426" s="36" t="s">
        <v>42</v>
      </c>
    </row>
    <row r="3427" spans="8:8" x14ac:dyDescent="0.35">
      <c r="H3427" s="36" t="s">
        <v>42</v>
      </c>
    </row>
    <row r="3428" spans="8:8" x14ac:dyDescent="0.35">
      <c r="H3428" s="36" t="s">
        <v>42</v>
      </c>
    </row>
    <row r="3429" spans="8:8" x14ac:dyDescent="0.35">
      <c r="H3429" s="36" t="s">
        <v>42</v>
      </c>
    </row>
    <row r="3430" spans="8:8" x14ac:dyDescent="0.35">
      <c r="H3430" s="36" t="s">
        <v>42</v>
      </c>
    </row>
    <row r="3431" spans="8:8" x14ac:dyDescent="0.35">
      <c r="H3431" s="36" t="s">
        <v>42</v>
      </c>
    </row>
    <row r="3432" spans="8:8" x14ac:dyDescent="0.35">
      <c r="H3432" s="36" t="s">
        <v>42</v>
      </c>
    </row>
    <row r="3433" spans="8:8" x14ac:dyDescent="0.35">
      <c r="H3433" s="36" t="s">
        <v>42</v>
      </c>
    </row>
    <row r="3434" spans="8:8" x14ac:dyDescent="0.35">
      <c r="H3434" s="36" t="s">
        <v>42</v>
      </c>
    </row>
    <row r="3435" spans="8:8" x14ac:dyDescent="0.35">
      <c r="H3435" s="36" t="s">
        <v>42</v>
      </c>
    </row>
    <row r="3436" spans="8:8" x14ac:dyDescent="0.35">
      <c r="H3436" s="36" t="s">
        <v>42</v>
      </c>
    </row>
    <row r="3437" spans="8:8" x14ac:dyDescent="0.35">
      <c r="H3437" s="36" t="s">
        <v>42</v>
      </c>
    </row>
    <row r="3438" spans="8:8" x14ac:dyDescent="0.35">
      <c r="H3438" s="36" t="s">
        <v>42</v>
      </c>
    </row>
    <row r="3439" spans="8:8" x14ac:dyDescent="0.35">
      <c r="H3439" s="36" t="s">
        <v>42</v>
      </c>
    </row>
    <row r="3440" spans="8:8" x14ac:dyDescent="0.35">
      <c r="H3440" s="36" t="s">
        <v>42</v>
      </c>
    </row>
    <row r="3441" spans="8:8" x14ac:dyDescent="0.35">
      <c r="H3441" s="36" t="s">
        <v>42</v>
      </c>
    </row>
    <row r="3442" spans="8:8" x14ac:dyDescent="0.35">
      <c r="H3442" s="36" t="s">
        <v>42</v>
      </c>
    </row>
    <row r="3443" spans="8:8" x14ac:dyDescent="0.35">
      <c r="H3443" s="36" t="s">
        <v>42</v>
      </c>
    </row>
    <row r="3444" spans="8:8" x14ac:dyDescent="0.35">
      <c r="H3444" s="36" t="s">
        <v>42</v>
      </c>
    </row>
    <row r="3445" spans="8:8" x14ac:dyDescent="0.35">
      <c r="H3445" s="36" t="s">
        <v>42</v>
      </c>
    </row>
    <row r="3446" spans="8:8" x14ac:dyDescent="0.35">
      <c r="H3446" s="36" t="s">
        <v>42</v>
      </c>
    </row>
    <row r="3447" spans="8:8" x14ac:dyDescent="0.35">
      <c r="H3447" s="36" t="s">
        <v>42</v>
      </c>
    </row>
    <row r="3448" spans="8:8" x14ac:dyDescent="0.35">
      <c r="H3448" s="36" t="s">
        <v>42</v>
      </c>
    </row>
    <row r="3449" spans="8:8" x14ac:dyDescent="0.35">
      <c r="H3449" s="36" t="s">
        <v>42</v>
      </c>
    </row>
    <row r="3450" spans="8:8" x14ac:dyDescent="0.35">
      <c r="H3450" s="36" t="s">
        <v>42</v>
      </c>
    </row>
    <row r="3451" spans="8:8" x14ac:dyDescent="0.35">
      <c r="H3451" s="36" t="s">
        <v>42</v>
      </c>
    </row>
    <row r="3452" spans="8:8" x14ac:dyDescent="0.35">
      <c r="H3452" s="36" t="s">
        <v>42</v>
      </c>
    </row>
    <row r="3453" spans="8:8" x14ac:dyDescent="0.35">
      <c r="H3453" s="36" t="s">
        <v>42</v>
      </c>
    </row>
    <row r="3454" spans="8:8" x14ac:dyDescent="0.35">
      <c r="H3454" s="36" t="s">
        <v>42</v>
      </c>
    </row>
    <row r="3455" spans="8:8" x14ac:dyDescent="0.35">
      <c r="H3455" s="36" t="s">
        <v>42</v>
      </c>
    </row>
    <row r="3456" spans="8:8" x14ac:dyDescent="0.35">
      <c r="H3456" s="36" t="s">
        <v>42</v>
      </c>
    </row>
    <row r="3457" spans="8:8" x14ac:dyDescent="0.35">
      <c r="H3457" s="36" t="s">
        <v>42</v>
      </c>
    </row>
    <row r="3458" spans="8:8" x14ac:dyDescent="0.35">
      <c r="H3458" s="36" t="s">
        <v>42</v>
      </c>
    </row>
    <row r="3459" spans="8:8" x14ac:dyDescent="0.35">
      <c r="H3459" s="36" t="s">
        <v>42</v>
      </c>
    </row>
    <row r="3460" spans="8:8" x14ac:dyDescent="0.35">
      <c r="H3460" s="36" t="s">
        <v>42</v>
      </c>
    </row>
    <row r="3461" spans="8:8" x14ac:dyDescent="0.35">
      <c r="H3461" s="36" t="s">
        <v>42</v>
      </c>
    </row>
    <row r="3462" spans="8:8" x14ac:dyDescent="0.35">
      <c r="H3462" s="36" t="s">
        <v>42</v>
      </c>
    </row>
    <row r="3463" spans="8:8" x14ac:dyDescent="0.35">
      <c r="H3463" s="36" t="s">
        <v>42</v>
      </c>
    </row>
    <row r="3464" spans="8:8" x14ac:dyDescent="0.35">
      <c r="H3464" s="36" t="s">
        <v>42</v>
      </c>
    </row>
    <row r="3465" spans="8:8" x14ac:dyDescent="0.35">
      <c r="H3465" s="36" t="s">
        <v>42</v>
      </c>
    </row>
    <row r="3466" spans="8:8" x14ac:dyDescent="0.35">
      <c r="H3466" s="36" t="s">
        <v>42</v>
      </c>
    </row>
    <row r="3467" spans="8:8" x14ac:dyDescent="0.35">
      <c r="H3467" s="36" t="s">
        <v>42</v>
      </c>
    </row>
    <row r="3468" spans="8:8" x14ac:dyDescent="0.35">
      <c r="H3468" s="36" t="s">
        <v>42</v>
      </c>
    </row>
    <row r="3469" spans="8:8" x14ac:dyDescent="0.35">
      <c r="H3469" s="36" t="s">
        <v>42</v>
      </c>
    </row>
    <row r="3470" spans="8:8" x14ac:dyDescent="0.35">
      <c r="H3470" s="36" t="s">
        <v>42</v>
      </c>
    </row>
    <row r="3471" spans="8:8" x14ac:dyDescent="0.35">
      <c r="H3471" s="36" t="s">
        <v>42</v>
      </c>
    </row>
    <row r="3472" spans="8:8" x14ac:dyDescent="0.35">
      <c r="H3472" s="36" t="s">
        <v>42</v>
      </c>
    </row>
    <row r="3473" spans="8:8" x14ac:dyDescent="0.35">
      <c r="H3473" s="36" t="s">
        <v>42</v>
      </c>
    </row>
    <row r="3474" spans="8:8" x14ac:dyDescent="0.35">
      <c r="H3474" s="36" t="s">
        <v>42</v>
      </c>
    </row>
    <row r="3475" spans="8:8" x14ac:dyDescent="0.35">
      <c r="H3475" s="36" t="s">
        <v>42</v>
      </c>
    </row>
    <row r="3476" spans="8:8" x14ac:dyDescent="0.35">
      <c r="H3476" s="36" t="s">
        <v>42</v>
      </c>
    </row>
    <row r="3477" spans="8:8" x14ac:dyDescent="0.35">
      <c r="H3477" s="36" t="s">
        <v>42</v>
      </c>
    </row>
    <row r="3478" spans="8:8" x14ac:dyDescent="0.35">
      <c r="H3478" s="36" t="s">
        <v>42</v>
      </c>
    </row>
    <row r="3479" spans="8:8" x14ac:dyDescent="0.35">
      <c r="H3479" s="36" t="s">
        <v>42</v>
      </c>
    </row>
    <row r="3480" spans="8:8" x14ac:dyDescent="0.35">
      <c r="H3480" s="36" t="s">
        <v>42</v>
      </c>
    </row>
    <row r="3481" spans="8:8" x14ac:dyDescent="0.35">
      <c r="H3481" s="36" t="s">
        <v>42</v>
      </c>
    </row>
    <row r="3482" spans="8:8" x14ac:dyDescent="0.35">
      <c r="H3482" s="36" t="s">
        <v>42</v>
      </c>
    </row>
    <row r="3483" spans="8:8" x14ac:dyDescent="0.35">
      <c r="H3483" s="36" t="s">
        <v>42</v>
      </c>
    </row>
    <row r="3484" spans="8:8" x14ac:dyDescent="0.35">
      <c r="H3484" s="36" t="s">
        <v>42</v>
      </c>
    </row>
    <row r="3485" spans="8:8" x14ac:dyDescent="0.35">
      <c r="H3485" s="36" t="s">
        <v>42</v>
      </c>
    </row>
    <row r="3486" spans="8:8" x14ac:dyDescent="0.35">
      <c r="H3486" s="36" t="s">
        <v>42</v>
      </c>
    </row>
    <row r="3487" spans="8:8" x14ac:dyDescent="0.35">
      <c r="H3487" s="36" t="s">
        <v>42</v>
      </c>
    </row>
    <row r="3488" spans="8:8" x14ac:dyDescent="0.35">
      <c r="H3488" s="36" t="s">
        <v>42</v>
      </c>
    </row>
    <row r="3489" spans="8:8" x14ac:dyDescent="0.35">
      <c r="H3489" s="36" t="s">
        <v>42</v>
      </c>
    </row>
    <row r="3490" spans="8:8" x14ac:dyDescent="0.35">
      <c r="H3490" s="36" t="s">
        <v>42</v>
      </c>
    </row>
    <row r="3491" spans="8:8" x14ac:dyDescent="0.35">
      <c r="H3491" s="36" t="s">
        <v>42</v>
      </c>
    </row>
    <row r="3492" spans="8:8" x14ac:dyDescent="0.35">
      <c r="H3492" s="36" t="s">
        <v>42</v>
      </c>
    </row>
    <row r="3493" spans="8:8" x14ac:dyDescent="0.35">
      <c r="H3493" s="36" t="s">
        <v>42</v>
      </c>
    </row>
    <row r="3494" spans="8:8" x14ac:dyDescent="0.35">
      <c r="H3494" s="36" t="s">
        <v>42</v>
      </c>
    </row>
    <row r="3495" spans="8:8" x14ac:dyDescent="0.35">
      <c r="H3495" s="36" t="s">
        <v>42</v>
      </c>
    </row>
    <row r="3496" spans="8:8" x14ac:dyDescent="0.35">
      <c r="H3496" s="36" t="s">
        <v>42</v>
      </c>
    </row>
    <row r="3497" spans="8:8" x14ac:dyDescent="0.35">
      <c r="H3497" s="36" t="s">
        <v>42</v>
      </c>
    </row>
    <row r="3498" spans="8:8" x14ac:dyDescent="0.35">
      <c r="H3498" s="36" t="s">
        <v>42</v>
      </c>
    </row>
    <row r="3499" spans="8:8" x14ac:dyDescent="0.35">
      <c r="H3499" s="36" t="s">
        <v>42</v>
      </c>
    </row>
    <row r="3500" spans="8:8" x14ac:dyDescent="0.35">
      <c r="H3500" s="36" t="s">
        <v>42</v>
      </c>
    </row>
    <row r="3501" spans="8:8" x14ac:dyDescent="0.35">
      <c r="H3501" s="36" t="s">
        <v>42</v>
      </c>
    </row>
    <row r="3502" spans="8:8" x14ac:dyDescent="0.35">
      <c r="H3502" s="36" t="s">
        <v>42</v>
      </c>
    </row>
    <row r="3503" spans="8:8" x14ac:dyDescent="0.35">
      <c r="H3503" s="36" t="s">
        <v>42</v>
      </c>
    </row>
    <row r="3504" spans="8:8" x14ac:dyDescent="0.35">
      <c r="H3504" s="36" t="s">
        <v>42</v>
      </c>
    </row>
    <row r="3505" spans="8:8" x14ac:dyDescent="0.35">
      <c r="H3505" s="36" t="s">
        <v>42</v>
      </c>
    </row>
    <row r="3506" spans="8:8" x14ac:dyDescent="0.35">
      <c r="H3506" s="36" t="s">
        <v>42</v>
      </c>
    </row>
    <row r="3507" spans="8:8" x14ac:dyDescent="0.35">
      <c r="H3507" s="36" t="s">
        <v>42</v>
      </c>
    </row>
    <row r="3508" spans="8:8" x14ac:dyDescent="0.35">
      <c r="H3508" s="36" t="s">
        <v>42</v>
      </c>
    </row>
    <row r="3509" spans="8:8" x14ac:dyDescent="0.35">
      <c r="H3509" s="36" t="s">
        <v>42</v>
      </c>
    </row>
    <row r="3510" spans="8:8" x14ac:dyDescent="0.35">
      <c r="H3510" s="36" t="s">
        <v>42</v>
      </c>
    </row>
    <row r="3511" spans="8:8" x14ac:dyDescent="0.35">
      <c r="H3511" s="36" t="s">
        <v>42</v>
      </c>
    </row>
    <row r="3512" spans="8:8" x14ac:dyDescent="0.35">
      <c r="H3512" s="36" t="s">
        <v>42</v>
      </c>
    </row>
    <row r="3513" spans="8:8" x14ac:dyDescent="0.35">
      <c r="H3513" s="36" t="s">
        <v>42</v>
      </c>
    </row>
    <row r="3514" spans="8:8" x14ac:dyDescent="0.35">
      <c r="H3514" s="36" t="s">
        <v>42</v>
      </c>
    </row>
    <row r="3515" spans="8:8" x14ac:dyDescent="0.35">
      <c r="H3515" s="36" t="s">
        <v>42</v>
      </c>
    </row>
    <row r="3516" spans="8:8" x14ac:dyDescent="0.35">
      <c r="H3516" s="36" t="s">
        <v>42</v>
      </c>
    </row>
    <row r="3517" spans="8:8" x14ac:dyDescent="0.35">
      <c r="H3517" s="36" t="s">
        <v>42</v>
      </c>
    </row>
    <row r="3518" spans="8:8" x14ac:dyDescent="0.35">
      <c r="H3518" s="36" t="s">
        <v>42</v>
      </c>
    </row>
    <row r="3519" spans="8:8" x14ac:dyDescent="0.35">
      <c r="H3519" s="36" t="s">
        <v>42</v>
      </c>
    </row>
    <row r="3520" spans="8:8" x14ac:dyDescent="0.35">
      <c r="H3520" s="36" t="s">
        <v>42</v>
      </c>
    </row>
    <row r="3521" spans="8:8" x14ac:dyDescent="0.35">
      <c r="H3521" s="36" t="s">
        <v>42</v>
      </c>
    </row>
    <row r="3522" spans="8:8" x14ac:dyDescent="0.35">
      <c r="H3522" s="36" t="s">
        <v>42</v>
      </c>
    </row>
    <row r="3523" spans="8:8" x14ac:dyDescent="0.35">
      <c r="H3523" s="36" t="s">
        <v>42</v>
      </c>
    </row>
    <row r="3524" spans="8:8" x14ac:dyDescent="0.35">
      <c r="H3524" s="36" t="s">
        <v>42</v>
      </c>
    </row>
    <row r="3525" spans="8:8" x14ac:dyDescent="0.35">
      <c r="H3525" s="36" t="s">
        <v>42</v>
      </c>
    </row>
    <row r="3526" spans="8:8" x14ac:dyDescent="0.35">
      <c r="H3526" s="36" t="s">
        <v>42</v>
      </c>
    </row>
    <row r="3527" spans="8:8" x14ac:dyDescent="0.35">
      <c r="H3527" s="36" t="s">
        <v>42</v>
      </c>
    </row>
    <row r="3528" spans="8:8" x14ac:dyDescent="0.35">
      <c r="H3528" s="36" t="s">
        <v>42</v>
      </c>
    </row>
    <row r="3529" spans="8:8" x14ac:dyDescent="0.35">
      <c r="H3529" s="36" t="s">
        <v>42</v>
      </c>
    </row>
    <row r="3530" spans="8:8" x14ac:dyDescent="0.35">
      <c r="H3530" s="36" t="s">
        <v>42</v>
      </c>
    </row>
    <row r="3531" spans="8:8" x14ac:dyDescent="0.35">
      <c r="H3531" s="36" t="s">
        <v>42</v>
      </c>
    </row>
    <row r="3532" spans="8:8" x14ac:dyDescent="0.35">
      <c r="H3532" s="36" t="s">
        <v>42</v>
      </c>
    </row>
    <row r="3533" spans="8:8" x14ac:dyDescent="0.35">
      <c r="H3533" s="36" t="s">
        <v>42</v>
      </c>
    </row>
    <row r="3534" spans="8:8" x14ac:dyDescent="0.35">
      <c r="H3534" s="36" t="s">
        <v>42</v>
      </c>
    </row>
    <row r="3535" spans="8:8" x14ac:dyDescent="0.35">
      <c r="H3535" s="36" t="s">
        <v>42</v>
      </c>
    </row>
    <row r="3536" spans="8:8" x14ac:dyDescent="0.35">
      <c r="H3536" s="36" t="s">
        <v>42</v>
      </c>
    </row>
    <row r="3537" spans="8:8" x14ac:dyDescent="0.35">
      <c r="H3537" s="36" t="s">
        <v>42</v>
      </c>
    </row>
    <row r="3538" spans="8:8" x14ac:dyDescent="0.35">
      <c r="H3538" s="36" t="s">
        <v>42</v>
      </c>
    </row>
    <row r="3539" spans="8:8" x14ac:dyDescent="0.35">
      <c r="H3539" s="36" t="s">
        <v>42</v>
      </c>
    </row>
    <row r="3540" spans="8:8" x14ac:dyDescent="0.35">
      <c r="H3540" s="36" t="s">
        <v>42</v>
      </c>
    </row>
    <row r="3541" spans="8:8" x14ac:dyDescent="0.35">
      <c r="H3541" s="36" t="s">
        <v>42</v>
      </c>
    </row>
    <row r="3542" spans="8:8" x14ac:dyDescent="0.35">
      <c r="H3542" s="36" t="s">
        <v>42</v>
      </c>
    </row>
    <row r="3543" spans="8:8" x14ac:dyDescent="0.35">
      <c r="H3543" s="36" t="s">
        <v>42</v>
      </c>
    </row>
    <row r="3544" spans="8:8" x14ac:dyDescent="0.35">
      <c r="H3544" s="36" t="s">
        <v>42</v>
      </c>
    </row>
    <row r="3545" spans="8:8" x14ac:dyDescent="0.35">
      <c r="H3545" s="36" t="s">
        <v>42</v>
      </c>
    </row>
    <row r="3546" spans="8:8" x14ac:dyDescent="0.35">
      <c r="H3546" s="36" t="s">
        <v>42</v>
      </c>
    </row>
    <row r="3547" spans="8:8" x14ac:dyDescent="0.35">
      <c r="H3547" s="36" t="s">
        <v>42</v>
      </c>
    </row>
    <row r="3548" spans="8:8" x14ac:dyDescent="0.35">
      <c r="H3548" s="36" t="s">
        <v>42</v>
      </c>
    </row>
    <row r="3549" spans="8:8" x14ac:dyDescent="0.35">
      <c r="H3549" s="36" t="s">
        <v>42</v>
      </c>
    </row>
    <row r="3550" spans="8:8" x14ac:dyDescent="0.35">
      <c r="H3550" s="36" t="s">
        <v>42</v>
      </c>
    </row>
    <row r="3551" spans="8:8" x14ac:dyDescent="0.35">
      <c r="H3551" s="36" t="s">
        <v>42</v>
      </c>
    </row>
    <row r="3552" spans="8:8" x14ac:dyDescent="0.35">
      <c r="H3552" s="36" t="s">
        <v>42</v>
      </c>
    </row>
    <row r="3553" spans="8:8" x14ac:dyDescent="0.35">
      <c r="H3553" s="36" t="s">
        <v>42</v>
      </c>
    </row>
    <row r="3554" spans="8:8" x14ac:dyDescent="0.35">
      <c r="H3554" s="36" t="s">
        <v>42</v>
      </c>
    </row>
    <row r="3555" spans="8:8" x14ac:dyDescent="0.35">
      <c r="H3555" s="36" t="s">
        <v>42</v>
      </c>
    </row>
    <row r="3556" spans="8:8" x14ac:dyDescent="0.35">
      <c r="H3556" s="36" t="s">
        <v>42</v>
      </c>
    </row>
    <row r="3557" spans="8:8" x14ac:dyDescent="0.35">
      <c r="H3557" s="36" t="s">
        <v>42</v>
      </c>
    </row>
    <row r="3558" spans="8:8" x14ac:dyDescent="0.35">
      <c r="H3558" s="36" t="s">
        <v>42</v>
      </c>
    </row>
    <row r="3559" spans="8:8" x14ac:dyDescent="0.35">
      <c r="H3559" s="36" t="s">
        <v>42</v>
      </c>
    </row>
    <row r="3560" spans="8:8" x14ac:dyDescent="0.35">
      <c r="H3560" s="36" t="s">
        <v>42</v>
      </c>
    </row>
    <row r="3561" spans="8:8" x14ac:dyDescent="0.35">
      <c r="H3561" s="36" t="s">
        <v>42</v>
      </c>
    </row>
    <row r="3562" spans="8:8" x14ac:dyDescent="0.35">
      <c r="H3562" s="36" t="s">
        <v>42</v>
      </c>
    </row>
    <row r="3563" spans="8:8" x14ac:dyDescent="0.35">
      <c r="H3563" s="36" t="s">
        <v>42</v>
      </c>
    </row>
    <row r="3564" spans="8:8" x14ac:dyDescent="0.35">
      <c r="H3564" s="36" t="s">
        <v>42</v>
      </c>
    </row>
    <row r="3565" spans="8:8" x14ac:dyDescent="0.35">
      <c r="H3565" s="36" t="s">
        <v>42</v>
      </c>
    </row>
    <row r="3566" spans="8:8" x14ac:dyDescent="0.35">
      <c r="H3566" s="36" t="s">
        <v>42</v>
      </c>
    </row>
    <row r="3567" spans="8:8" x14ac:dyDescent="0.35">
      <c r="H3567" s="36" t="s">
        <v>42</v>
      </c>
    </row>
    <row r="3568" spans="8:8" x14ac:dyDescent="0.35">
      <c r="H3568" s="36" t="s">
        <v>42</v>
      </c>
    </row>
    <row r="3569" spans="8:8" x14ac:dyDescent="0.35">
      <c r="H3569" s="36" t="s">
        <v>42</v>
      </c>
    </row>
    <row r="3570" spans="8:8" x14ac:dyDescent="0.35">
      <c r="H3570" s="36" t="s">
        <v>42</v>
      </c>
    </row>
    <row r="3571" spans="8:8" x14ac:dyDescent="0.35">
      <c r="H3571" s="36" t="s">
        <v>42</v>
      </c>
    </row>
    <row r="3572" spans="8:8" x14ac:dyDescent="0.35">
      <c r="H3572" s="36" t="s">
        <v>42</v>
      </c>
    </row>
    <row r="3573" spans="8:8" x14ac:dyDescent="0.35">
      <c r="H3573" s="36" t="s">
        <v>42</v>
      </c>
    </row>
    <row r="3574" spans="8:8" x14ac:dyDescent="0.35">
      <c r="H3574" s="36" t="s">
        <v>42</v>
      </c>
    </row>
    <row r="3575" spans="8:8" x14ac:dyDescent="0.35">
      <c r="H3575" s="36" t="s">
        <v>42</v>
      </c>
    </row>
    <row r="3576" spans="8:8" x14ac:dyDescent="0.35">
      <c r="H3576" s="36" t="s">
        <v>42</v>
      </c>
    </row>
    <row r="3577" spans="8:8" x14ac:dyDescent="0.35">
      <c r="H3577" s="36" t="s">
        <v>42</v>
      </c>
    </row>
    <row r="3578" spans="8:8" x14ac:dyDescent="0.35">
      <c r="H3578" s="36" t="s">
        <v>42</v>
      </c>
    </row>
    <row r="3579" spans="8:8" x14ac:dyDescent="0.35">
      <c r="H3579" s="36" t="s">
        <v>42</v>
      </c>
    </row>
    <row r="3580" spans="8:8" x14ac:dyDescent="0.35">
      <c r="H3580" s="36" t="s">
        <v>42</v>
      </c>
    </row>
    <row r="3581" spans="8:8" x14ac:dyDescent="0.35">
      <c r="H3581" s="36" t="s">
        <v>42</v>
      </c>
    </row>
    <row r="3582" spans="8:8" x14ac:dyDescent="0.35">
      <c r="H3582" s="36" t="s">
        <v>42</v>
      </c>
    </row>
    <row r="3583" spans="8:8" x14ac:dyDescent="0.35">
      <c r="H3583" s="36" t="s">
        <v>42</v>
      </c>
    </row>
    <row r="3584" spans="8:8" x14ac:dyDescent="0.35">
      <c r="H3584" s="36" t="s">
        <v>42</v>
      </c>
    </row>
    <row r="3585" spans="8:8" x14ac:dyDescent="0.35">
      <c r="H3585" s="36" t="s">
        <v>42</v>
      </c>
    </row>
    <row r="3586" spans="8:8" x14ac:dyDescent="0.35">
      <c r="H3586" s="36" t="s">
        <v>42</v>
      </c>
    </row>
    <row r="3587" spans="8:8" x14ac:dyDescent="0.35">
      <c r="H3587" s="36" t="s">
        <v>42</v>
      </c>
    </row>
    <row r="3588" spans="8:8" x14ac:dyDescent="0.35">
      <c r="H3588" s="36" t="s">
        <v>42</v>
      </c>
    </row>
    <row r="3589" spans="8:8" x14ac:dyDescent="0.35">
      <c r="H3589" s="36" t="s">
        <v>42</v>
      </c>
    </row>
    <row r="3590" spans="8:8" x14ac:dyDescent="0.35">
      <c r="H3590" s="36" t="s">
        <v>42</v>
      </c>
    </row>
    <row r="3591" spans="8:8" x14ac:dyDescent="0.35">
      <c r="H3591" s="36" t="s">
        <v>42</v>
      </c>
    </row>
    <row r="3592" spans="8:8" x14ac:dyDescent="0.35">
      <c r="H3592" s="36" t="s">
        <v>42</v>
      </c>
    </row>
    <row r="3593" spans="8:8" x14ac:dyDescent="0.35">
      <c r="H3593" s="36" t="s">
        <v>42</v>
      </c>
    </row>
    <row r="3594" spans="8:8" x14ac:dyDescent="0.35">
      <c r="H3594" s="36" t="s">
        <v>42</v>
      </c>
    </row>
    <row r="3595" spans="8:8" x14ac:dyDescent="0.35">
      <c r="H3595" s="36" t="s">
        <v>42</v>
      </c>
    </row>
    <row r="3596" spans="8:8" x14ac:dyDescent="0.35">
      <c r="H3596" s="36" t="s">
        <v>42</v>
      </c>
    </row>
    <row r="3597" spans="8:8" x14ac:dyDescent="0.35">
      <c r="H3597" s="36" t="s">
        <v>42</v>
      </c>
    </row>
    <row r="3598" spans="8:8" x14ac:dyDescent="0.35">
      <c r="H3598" s="36" t="s">
        <v>42</v>
      </c>
    </row>
    <row r="3599" spans="8:8" x14ac:dyDescent="0.35">
      <c r="H3599" s="36" t="s">
        <v>42</v>
      </c>
    </row>
    <row r="3600" spans="8:8" x14ac:dyDescent="0.35">
      <c r="H3600" s="36" t="s">
        <v>42</v>
      </c>
    </row>
    <row r="3601" spans="8:8" x14ac:dyDescent="0.35">
      <c r="H3601" s="36" t="s">
        <v>42</v>
      </c>
    </row>
    <row r="3602" spans="8:8" x14ac:dyDescent="0.35">
      <c r="H3602" s="36" t="s">
        <v>42</v>
      </c>
    </row>
    <row r="3603" spans="8:8" x14ac:dyDescent="0.35">
      <c r="H3603" s="36" t="s">
        <v>42</v>
      </c>
    </row>
    <row r="3604" spans="8:8" x14ac:dyDescent="0.35">
      <c r="H3604" s="36" t="s">
        <v>42</v>
      </c>
    </row>
    <row r="3605" spans="8:8" x14ac:dyDescent="0.35">
      <c r="H3605" s="36" t="s">
        <v>42</v>
      </c>
    </row>
    <row r="3606" spans="8:8" x14ac:dyDescent="0.35">
      <c r="H3606" s="36" t="s">
        <v>42</v>
      </c>
    </row>
    <row r="3607" spans="8:8" x14ac:dyDescent="0.35">
      <c r="H3607" s="36" t="s">
        <v>42</v>
      </c>
    </row>
    <row r="3608" spans="8:8" x14ac:dyDescent="0.35">
      <c r="H3608" s="36" t="s">
        <v>42</v>
      </c>
    </row>
    <row r="3609" spans="8:8" x14ac:dyDescent="0.35">
      <c r="H3609" s="36" t="s">
        <v>42</v>
      </c>
    </row>
    <row r="3610" spans="8:8" x14ac:dyDescent="0.35">
      <c r="H3610" s="36" t="s">
        <v>42</v>
      </c>
    </row>
    <row r="3611" spans="8:8" x14ac:dyDescent="0.35">
      <c r="H3611" s="36" t="s">
        <v>42</v>
      </c>
    </row>
    <row r="3612" spans="8:8" x14ac:dyDescent="0.35">
      <c r="H3612" s="36" t="s">
        <v>42</v>
      </c>
    </row>
    <row r="3613" spans="8:8" x14ac:dyDescent="0.35">
      <c r="H3613" s="36" t="s">
        <v>42</v>
      </c>
    </row>
    <row r="3614" spans="8:8" x14ac:dyDescent="0.35">
      <c r="H3614" s="36" t="s">
        <v>42</v>
      </c>
    </row>
    <row r="3615" spans="8:8" x14ac:dyDescent="0.35">
      <c r="H3615" s="36" t="s">
        <v>42</v>
      </c>
    </row>
    <row r="3616" spans="8:8" x14ac:dyDescent="0.35">
      <c r="H3616" s="36" t="s">
        <v>42</v>
      </c>
    </row>
    <row r="3617" spans="8:8" x14ac:dyDescent="0.35">
      <c r="H3617" s="36" t="s">
        <v>42</v>
      </c>
    </row>
    <row r="3618" spans="8:8" x14ac:dyDescent="0.35">
      <c r="H3618" s="36" t="s">
        <v>42</v>
      </c>
    </row>
    <row r="3619" spans="8:8" x14ac:dyDescent="0.35">
      <c r="H3619" s="36" t="s">
        <v>42</v>
      </c>
    </row>
    <row r="3620" spans="8:8" x14ac:dyDescent="0.35">
      <c r="H3620" s="36" t="s">
        <v>42</v>
      </c>
    </row>
    <row r="3621" spans="8:8" x14ac:dyDescent="0.35">
      <c r="H3621" s="36" t="s">
        <v>42</v>
      </c>
    </row>
    <row r="3622" spans="8:8" x14ac:dyDescent="0.35">
      <c r="H3622" s="36" t="s">
        <v>42</v>
      </c>
    </row>
    <row r="3623" spans="8:8" x14ac:dyDescent="0.35">
      <c r="H3623" s="36" t="s">
        <v>42</v>
      </c>
    </row>
    <row r="3624" spans="8:8" x14ac:dyDescent="0.35">
      <c r="H3624" s="36" t="s">
        <v>42</v>
      </c>
    </row>
    <row r="3625" spans="8:8" x14ac:dyDescent="0.35">
      <c r="H3625" s="36" t="s">
        <v>42</v>
      </c>
    </row>
    <row r="3626" spans="8:8" x14ac:dyDescent="0.35">
      <c r="H3626" s="36" t="s">
        <v>42</v>
      </c>
    </row>
    <row r="3627" spans="8:8" x14ac:dyDescent="0.35">
      <c r="H3627" s="36" t="s">
        <v>42</v>
      </c>
    </row>
    <row r="3628" spans="8:8" x14ac:dyDescent="0.35">
      <c r="H3628" s="36" t="s">
        <v>42</v>
      </c>
    </row>
    <row r="3629" spans="8:8" x14ac:dyDescent="0.35">
      <c r="H3629" s="36" t="s">
        <v>42</v>
      </c>
    </row>
    <row r="3630" spans="8:8" x14ac:dyDescent="0.35">
      <c r="H3630" s="36" t="s">
        <v>42</v>
      </c>
    </row>
    <row r="3631" spans="8:8" x14ac:dyDescent="0.35">
      <c r="H3631" s="36" t="s">
        <v>42</v>
      </c>
    </row>
    <row r="3632" spans="8:8" x14ac:dyDescent="0.35">
      <c r="H3632" s="36" t="s">
        <v>42</v>
      </c>
    </row>
    <row r="3633" spans="8:8" x14ac:dyDescent="0.35">
      <c r="H3633" s="36" t="s">
        <v>42</v>
      </c>
    </row>
    <row r="3634" spans="8:8" x14ac:dyDescent="0.35">
      <c r="H3634" s="36" t="s">
        <v>42</v>
      </c>
    </row>
    <row r="3635" spans="8:8" x14ac:dyDescent="0.35">
      <c r="H3635" s="36" t="s">
        <v>42</v>
      </c>
    </row>
    <row r="3636" spans="8:8" x14ac:dyDescent="0.35">
      <c r="H3636" s="36" t="s">
        <v>42</v>
      </c>
    </row>
    <row r="3637" spans="8:8" x14ac:dyDescent="0.35">
      <c r="H3637" s="36" t="s">
        <v>42</v>
      </c>
    </row>
    <row r="3638" spans="8:8" x14ac:dyDescent="0.35">
      <c r="H3638" s="36" t="s">
        <v>42</v>
      </c>
    </row>
    <row r="3639" spans="8:8" x14ac:dyDescent="0.35">
      <c r="H3639" s="36" t="s">
        <v>42</v>
      </c>
    </row>
    <row r="3640" spans="8:8" x14ac:dyDescent="0.35">
      <c r="H3640" s="36" t="s">
        <v>42</v>
      </c>
    </row>
    <row r="3641" spans="8:8" x14ac:dyDescent="0.35">
      <c r="H3641" s="36" t="s">
        <v>42</v>
      </c>
    </row>
    <row r="3642" spans="8:8" x14ac:dyDescent="0.35">
      <c r="H3642" s="36" t="s">
        <v>42</v>
      </c>
    </row>
    <row r="3643" spans="8:8" x14ac:dyDescent="0.35">
      <c r="H3643" s="36" t="s">
        <v>42</v>
      </c>
    </row>
    <row r="3644" spans="8:8" x14ac:dyDescent="0.35">
      <c r="H3644" s="36" t="s">
        <v>42</v>
      </c>
    </row>
    <row r="3645" spans="8:8" x14ac:dyDescent="0.35">
      <c r="H3645" s="36" t="s">
        <v>42</v>
      </c>
    </row>
    <row r="3646" spans="8:8" x14ac:dyDescent="0.35">
      <c r="H3646" s="36" t="s">
        <v>42</v>
      </c>
    </row>
    <row r="3647" spans="8:8" x14ac:dyDescent="0.35">
      <c r="H3647" s="36" t="s">
        <v>42</v>
      </c>
    </row>
    <row r="3648" spans="8:8" x14ac:dyDescent="0.35">
      <c r="H3648" s="36" t="s">
        <v>42</v>
      </c>
    </row>
    <row r="3649" spans="8:8" x14ac:dyDescent="0.35">
      <c r="H3649" s="36" t="s">
        <v>42</v>
      </c>
    </row>
    <row r="3650" spans="8:8" x14ac:dyDescent="0.35">
      <c r="H3650" s="36" t="s">
        <v>42</v>
      </c>
    </row>
    <row r="3651" spans="8:8" x14ac:dyDescent="0.35">
      <c r="H3651" s="36" t="s">
        <v>42</v>
      </c>
    </row>
    <row r="3652" spans="8:8" x14ac:dyDescent="0.35">
      <c r="H3652" s="36" t="s">
        <v>42</v>
      </c>
    </row>
    <row r="3653" spans="8:8" x14ac:dyDescent="0.35">
      <c r="H3653" s="36" t="s">
        <v>42</v>
      </c>
    </row>
    <row r="3654" spans="8:8" x14ac:dyDescent="0.35">
      <c r="H3654" s="36" t="s">
        <v>42</v>
      </c>
    </row>
    <row r="3655" spans="8:8" x14ac:dyDescent="0.35">
      <c r="H3655" s="36" t="s">
        <v>42</v>
      </c>
    </row>
    <row r="3656" spans="8:8" x14ac:dyDescent="0.35">
      <c r="H3656" s="36" t="s">
        <v>42</v>
      </c>
    </row>
    <row r="3657" spans="8:8" x14ac:dyDescent="0.35">
      <c r="H3657" s="36" t="s">
        <v>42</v>
      </c>
    </row>
    <row r="3658" spans="8:8" x14ac:dyDescent="0.35">
      <c r="H3658" s="36" t="s">
        <v>42</v>
      </c>
    </row>
    <row r="3659" spans="8:8" x14ac:dyDescent="0.35">
      <c r="H3659" s="36" t="s">
        <v>42</v>
      </c>
    </row>
    <row r="3660" spans="8:8" x14ac:dyDescent="0.35">
      <c r="H3660" s="36" t="s">
        <v>42</v>
      </c>
    </row>
    <row r="3661" spans="8:8" x14ac:dyDescent="0.35">
      <c r="H3661" s="36" t="s">
        <v>42</v>
      </c>
    </row>
    <row r="3662" spans="8:8" x14ac:dyDescent="0.35">
      <c r="H3662" s="36" t="s">
        <v>42</v>
      </c>
    </row>
    <row r="3663" spans="8:8" x14ac:dyDescent="0.35">
      <c r="H3663" s="36" t="s">
        <v>42</v>
      </c>
    </row>
    <row r="3664" spans="8:8" x14ac:dyDescent="0.35">
      <c r="H3664" s="36" t="s">
        <v>42</v>
      </c>
    </row>
    <row r="3665" spans="8:8" x14ac:dyDescent="0.35">
      <c r="H3665" s="36" t="s">
        <v>42</v>
      </c>
    </row>
    <row r="3666" spans="8:8" x14ac:dyDescent="0.35">
      <c r="H3666" s="36" t="s">
        <v>42</v>
      </c>
    </row>
    <row r="3667" spans="8:8" x14ac:dyDescent="0.35">
      <c r="H3667" s="36" t="s">
        <v>42</v>
      </c>
    </row>
    <row r="3668" spans="8:8" x14ac:dyDescent="0.35">
      <c r="H3668" s="36" t="s">
        <v>42</v>
      </c>
    </row>
    <row r="3669" spans="8:8" x14ac:dyDescent="0.35">
      <c r="H3669" s="36" t="s">
        <v>42</v>
      </c>
    </row>
    <row r="3670" spans="8:8" x14ac:dyDescent="0.35">
      <c r="H3670" s="36" t="s">
        <v>42</v>
      </c>
    </row>
    <row r="3671" spans="8:8" x14ac:dyDescent="0.35">
      <c r="H3671" s="36" t="s">
        <v>42</v>
      </c>
    </row>
    <row r="3672" spans="8:8" x14ac:dyDescent="0.35">
      <c r="H3672" s="36" t="s">
        <v>42</v>
      </c>
    </row>
    <row r="3673" spans="8:8" x14ac:dyDescent="0.35">
      <c r="H3673" s="36" t="s">
        <v>42</v>
      </c>
    </row>
    <row r="3674" spans="8:8" x14ac:dyDescent="0.35">
      <c r="H3674" s="36" t="s">
        <v>42</v>
      </c>
    </row>
    <row r="3675" spans="8:8" x14ac:dyDescent="0.35">
      <c r="H3675" s="36" t="s">
        <v>42</v>
      </c>
    </row>
    <row r="3676" spans="8:8" x14ac:dyDescent="0.35">
      <c r="H3676" s="36" t="s">
        <v>42</v>
      </c>
    </row>
    <row r="3677" spans="8:8" x14ac:dyDescent="0.35">
      <c r="H3677" s="36" t="s">
        <v>42</v>
      </c>
    </row>
    <row r="3678" spans="8:8" x14ac:dyDescent="0.35">
      <c r="H3678" s="36" t="s">
        <v>42</v>
      </c>
    </row>
    <row r="3679" spans="8:8" x14ac:dyDescent="0.35">
      <c r="H3679" s="36" t="s">
        <v>42</v>
      </c>
    </row>
    <row r="3680" spans="8:8" x14ac:dyDescent="0.35">
      <c r="H3680" s="36" t="s">
        <v>42</v>
      </c>
    </row>
    <row r="3681" spans="8:8" x14ac:dyDescent="0.35">
      <c r="H3681" s="36" t="s">
        <v>42</v>
      </c>
    </row>
    <row r="3682" spans="8:8" x14ac:dyDescent="0.35">
      <c r="H3682" s="36" t="s">
        <v>42</v>
      </c>
    </row>
    <row r="3683" spans="8:8" x14ac:dyDescent="0.35">
      <c r="H3683" s="36" t="s">
        <v>42</v>
      </c>
    </row>
    <row r="3684" spans="8:8" x14ac:dyDescent="0.35">
      <c r="H3684" s="36" t="s">
        <v>42</v>
      </c>
    </row>
    <row r="3685" spans="8:8" x14ac:dyDescent="0.35">
      <c r="H3685" s="36" t="s">
        <v>42</v>
      </c>
    </row>
    <row r="3686" spans="8:8" x14ac:dyDescent="0.35">
      <c r="H3686" s="36" t="s">
        <v>42</v>
      </c>
    </row>
    <row r="3687" spans="8:8" x14ac:dyDescent="0.35">
      <c r="H3687" s="36" t="s">
        <v>42</v>
      </c>
    </row>
    <row r="3688" spans="8:8" x14ac:dyDescent="0.35">
      <c r="H3688" s="36" t="s">
        <v>42</v>
      </c>
    </row>
    <row r="3689" spans="8:8" x14ac:dyDescent="0.35">
      <c r="H3689" s="36" t="s">
        <v>42</v>
      </c>
    </row>
    <row r="3690" spans="8:8" x14ac:dyDescent="0.35">
      <c r="H3690" s="36" t="s">
        <v>42</v>
      </c>
    </row>
    <row r="3691" spans="8:8" x14ac:dyDescent="0.35">
      <c r="H3691" s="36" t="s">
        <v>42</v>
      </c>
    </row>
    <row r="3692" spans="8:8" x14ac:dyDescent="0.35">
      <c r="H3692" s="36" t="s">
        <v>42</v>
      </c>
    </row>
    <row r="3693" spans="8:8" x14ac:dyDescent="0.35">
      <c r="H3693" s="36" t="s">
        <v>42</v>
      </c>
    </row>
    <row r="3694" spans="8:8" x14ac:dyDescent="0.35">
      <c r="H3694" s="36" t="s">
        <v>42</v>
      </c>
    </row>
    <row r="3695" spans="8:8" x14ac:dyDescent="0.35">
      <c r="H3695" s="36" t="s">
        <v>42</v>
      </c>
    </row>
    <row r="3696" spans="8:8" x14ac:dyDescent="0.35">
      <c r="H3696" s="36" t="s">
        <v>42</v>
      </c>
    </row>
    <row r="3697" spans="8:8" x14ac:dyDescent="0.35">
      <c r="H3697" s="36" t="s">
        <v>42</v>
      </c>
    </row>
    <row r="3698" spans="8:8" x14ac:dyDescent="0.35">
      <c r="H3698" s="36" t="s">
        <v>42</v>
      </c>
    </row>
    <row r="3699" spans="8:8" x14ac:dyDescent="0.35">
      <c r="H3699" s="36" t="s">
        <v>42</v>
      </c>
    </row>
    <row r="3700" spans="8:8" x14ac:dyDescent="0.35">
      <c r="H3700" s="36" t="s">
        <v>42</v>
      </c>
    </row>
    <row r="3701" spans="8:8" x14ac:dyDescent="0.35">
      <c r="H3701" s="36" t="s">
        <v>42</v>
      </c>
    </row>
    <row r="3702" spans="8:8" x14ac:dyDescent="0.35">
      <c r="H3702" s="36" t="s">
        <v>42</v>
      </c>
    </row>
    <row r="3703" spans="8:8" x14ac:dyDescent="0.35">
      <c r="H3703" s="36" t="s">
        <v>42</v>
      </c>
    </row>
    <row r="3704" spans="8:8" x14ac:dyDescent="0.35">
      <c r="H3704" s="36" t="s">
        <v>42</v>
      </c>
    </row>
    <row r="3705" spans="8:8" x14ac:dyDescent="0.35">
      <c r="H3705" s="36" t="s">
        <v>42</v>
      </c>
    </row>
    <row r="3706" spans="8:8" x14ac:dyDescent="0.35">
      <c r="H3706" s="36" t="s">
        <v>42</v>
      </c>
    </row>
    <row r="3707" spans="8:8" x14ac:dyDescent="0.35">
      <c r="H3707" s="36" t="s">
        <v>42</v>
      </c>
    </row>
    <row r="3708" spans="8:8" x14ac:dyDescent="0.35">
      <c r="H3708" s="36" t="s">
        <v>42</v>
      </c>
    </row>
    <row r="3709" spans="8:8" x14ac:dyDescent="0.35">
      <c r="H3709" s="36" t="s">
        <v>42</v>
      </c>
    </row>
    <row r="3710" spans="8:8" x14ac:dyDescent="0.35">
      <c r="H3710" s="36" t="s">
        <v>42</v>
      </c>
    </row>
    <row r="3711" spans="8:8" x14ac:dyDescent="0.35">
      <c r="H3711" s="36" t="s">
        <v>42</v>
      </c>
    </row>
    <row r="3712" spans="8:8" x14ac:dyDescent="0.35">
      <c r="H3712" s="36" t="s">
        <v>42</v>
      </c>
    </row>
    <row r="3713" spans="8:8" x14ac:dyDescent="0.35">
      <c r="H3713" s="36" t="s">
        <v>42</v>
      </c>
    </row>
    <row r="3714" spans="8:8" x14ac:dyDescent="0.35">
      <c r="H3714" s="36" t="s">
        <v>42</v>
      </c>
    </row>
    <row r="3715" spans="8:8" x14ac:dyDescent="0.35">
      <c r="H3715" s="36" t="s">
        <v>42</v>
      </c>
    </row>
    <row r="3716" spans="8:8" x14ac:dyDescent="0.35">
      <c r="H3716" s="36" t="s">
        <v>42</v>
      </c>
    </row>
    <row r="3717" spans="8:8" x14ac:dyDescent="0.35">
      <c r="H3717" s="36" t="s">
        <v>42</v>
      </c>
    </row>
    <row r="3718" spans="8:8" x14ac:dyDescent="0.35">
      <c r="H3718" s="36" t="s">
        <v>42</v>
      </c>
    </row>
    <row r="3719" spans="8:8" x14ac:dyDescent="0.35">
      <c r="H3719" s="36" t="s">
        <v>42</v>
      </c>
    </row>
    <row r="3720" spans="8:8" x14ac:dyDescent="0.35">
      <c r="H3720" s="36" t="s">
        <v>42</v>
      </c>
    </row>
    <row r="3721" spans="8:8" x14ac:dyDescent="0.35">
      <c r="H3721" s="36" t="s">
        <v>42</v>
      </c>
    </row>
    <row r="3722" spans="8:8" x14ac:dyDescent="0.35">
      <c r="H3722" s="36" t="s">
        <v>42</v>
      </c>
    </row>
    <row r="3723" spans="8:8" x14ac:dyDescent="0.35">
      <c r="H3723" s="36" t="s">
        <v>42</v>
      </c>
    </row>
    <row r="3724" spans="8:8" x14ac:dyDescent="0.35">
      <c r="H3724" s="36" t="s">
        <v>42</v>
      </c>
    </row>
    <row r="3725" spans="8:8" x14ac:dyDescent="0.35">
      <c r="H3725" s="36" t="s">
        <v>42</v>
      </c>
    </row>
    <row r="3726" spans="8:8" x14ac:dyDescent="0.35">
      <c r="H3726" s="36" t="s">
        <v>42</v>
      </c>
    </row>
    <row r="3727" spans="8:8" x14ac:dyDescent="0.35">
      <c r="H3727" s="36" t="s">
        <v>42</v>
      </c>
    </row>
    <row r="3728" spans="8:8" x14ac:dyDescent="0.35">
      <c r="H3728" s="36" t="s">
        <v>42</v>
      </c>
    </row>
    <row r="3729" spans="8:8" x14ac:dyDescent="0.35">
      <c r="H3729" s="36" t="s">
        <v>42</v>
      </c>
    </row>
    <row r="3730" spans="8:8" x14ac:dyDescent="0.35">
      <c r="H3730" s="36" t="s">
        <v>42</v>
      </c>
    </row>
    <row r="3731" spans="8:8" x14ac:dyDescent="0.35">
      <c r="H3731" s="36" t="s">
        <v>42</v>
      </c>
    </row>
    <row r="3732" spans="8:8" x14ac:dyDescent="0.35">
      <c r="H3732" s="36" t="s">
        <v>42</v>
      </c>
    </row>
    <row r="3733" spans="8:8" x14ac:dyDescent="0.35">
      <c r="H3733" s="36" t="s">
        <v>42</v>
      </c>
    </row>
    <row r="3734" spans="8:8" x14ac:dyDescent="0.35">
      <c r="H3734" s="36" t="s">
        <v>42</v>
      </c>
    </row>
    <row r="3735" spans="8:8" x14ac:dyDescent="0.35">
      <c r="H3735" s="36" t="s">
        <v>42</v>
      </c>
    </row>
    <row r="3736" spans="8:8" x14ac:dyDescent="0.35">
      <c r="H3736" s="36" t="s">
        <v>42</v>
      </c>
    </row>
    <row r="3737" spans="8:8" x14ac:dyDescent="0.35">
      <c r="H3737" s="36" t="s">
        <v>42</v>
      </c>
    </row>
    <row r="3738" spans="8:8" x14ac:dyDescent="0.35">
      <c r="H3738" s="36" t="s">
        <v>42</v>
      </c>
    </row>
    <row r="3739" spans="8:8" x14ac:dyDescent="0.35">
      <c r="H3739" s="36" t="s">
        <v>42</v>
      </c>
    </row>
    <row r="3740" spans="8:8" x14ac:dyDescent="0.35">
      <c r="H3740" s="36" t="s">
        <v>42</v>
      </c>
    </row>
    <row r="3741" spans="8:8" x14ac:dyDescent="0.35">
      <c r="H3741" s="36" t="s">
        <v>42</v>
      </c>
    </row>
    <row r="3742" spans="8:8" x14ac:dyDescent="0.35">
      <c r="H3742" s="36" t="s">
        <v>42</v>
      </c>
    </row>
    <row r="3743" spans="8:8" x14ac:dyDescent="0.35">
      <c r="H3743" s="36" t="s">
        <v>42</v>
      </c>
    </row>
    <row r="3744" spans="8:8" x14ac:dyDescent="0.35">
      <c r="H3744" s="36" t="s">
        <v>42</v>
      </c>
    </row>
    <row r="3745" spans="8:8" x14ac:dyDescent="0.35">
      <c r="H3745" s="36" t="s">
        <v>42</v>
      </c>
    </row>
    <row r="3746" spans="8:8" x14ac:dyDescent="0.35">
      <c r="H3746" s="36" t="s">
        <v>42</v>
      </c>
    </row>
    <row r="3747" spans="8:8" x14ac:dyDescent="0.35">
      <c r="H3747" s="36" t="s">
        <v>42</v>
      </c>
    </row>
    <row r="3748" spans="8:8" x14ac:dyDescent="0.35">
      <c r="H3748" s="36" t="s">
        <v>42</v>
      </c>
    </row>
    <row r="3749" spans="8:8" x14ac:dyDescent="0.35">
      <c r="H3749" s="36" t="s">
        <v>42</v>
      </c>
    </row>
    <row r="3750" spans="8:8" x14ac:dyDescent="0.35">
      <c r="H3750" s="36" t="s">
        <v>42</v>
      </c>
    </row>
    <row r="3751" spans="8:8" x14ac:dyDescent="0.35">
      <c r="H3751" s="36" t="s">
        <v>42</v>
      </c>
    </row>
    <row r="3752" spans="8:8" x14ac:dyDescent="0.35">
      <c r="H3752" s="36" t="s">
        <v>42</v>
      </c>
    </row>
    <row r="3753" spans="8:8" x14ac:dyDescent="0.35">
      <c r="H3753" s="36" t="s">
        <v>42</v>
      </c>
    </row>
    <row r="3754" spans="8:8" x14ac:dyDescent="0.35">
      <c r="H3754" s="36" t="s">
        <v>42</v>
      </c>
    </row>
    <row r="3755" spans="8:8" x14ac:dyDescent="0.35">
      <c r="H3755" s="36" t="s">
        <v>42</v>
      </c>
    </row>
    <row r="3756" spans="8:8" x14ac:dyDescent="0.35">
      <c r="H3756" s="36" t="s">
        <v>42</v>
      </c>
    </row>
    <row r="3757" spans="8:8" x14ac:dyDescent="0.35">
      <c r="H3757" s="36" t="s">
        <v>42</v>
      </c>
    </row>
    <row r="3758" spans="8:8" x14ac:dyDescent="0.35">
      <c r="H3758" s="36" t="s">
        <v>42</v>
      </c>
    </row>
    <row r="3759" spans="8:8" x14ac:dyDescent="0.35">
      <c r="H3759" s="36" t="s">
        <v>42</v>
      </c>
    </row>
    <row r="3760" spans="8:8" x14ac:dyDescent="0.35">
      <c r="H3760" s="36" t="s">
        <v>42</v>
      </c>
    </row>
    <row r="3761" spans="8:8" x14ac:dyDescent="0.35">
      <c r="H3761" s="36" t="s">
        <v>42</v>
      </c>
    </row>
    <row r="3762" spans="8:8" x14ac:dyDescent="0.35">
      <c r="H3762" s="36" t="s">
        <v>42</v>
      </c>
    </row>
    <row r="3763" spans="8:8" x14ac:dyDescent="0.35">
      <c r="H3763" s="36" t="s">
        <v>42</v>
      </c>
    </row>
    <row r="3764" spans="8:8" x14ac:dyDescent="0.35">
      <c r="H3764" s="36" t="s">
        <v>42</v>
      </c>
    </row>
    <row r="3765" spans="8:8" x14ac:dyDescent="0.35">
      <c r="H3765" s="36" t="s">
        <v>42</v>
      </c>
    </row>
    <row r="3766" spans="8:8" x14ac:dyDescent="0.35">
      <c r="H3766" s="36" t="s">
        <v>42</v>
      </c>
    </row>
    <row r="3767" spans="8:8" x14ac:dyDescent="0.35">
      <c r="H3767" s="36" t="s">
        <v>42</v>
      </c>
    </row>
    <row r="3768" spans="8:8" x14ac:dyDescent="0.35">
      <c r="H3768" s="36" t="s">
        <v>42</v>
      </c>
    </row>
    <row r="3769" spans="8:8" x14ac:dyDescent="0.35">
      <c r="H3769" s="36" t="s">
        <v>42</v>
      </c>
    </row>
    <row r="3770" spans="8:8" x14ac:dyDescent="0.35">
      <c r="H3770" s="36" t="s">
        <v>42</v>
      </c>
    </row>
    <row r="3771" spans="8:8" x14ac:dyDescent="0.35">
      <c r="H3771" s="36" t="s">
        <v>42</v>
      </c>
    </row>
    <row r="3772" spans="8:8" x14ac:dyDescent="0.35">
      <c r="H3772" s="36" t="s">
        <v>42</v>
      </c>
    </row>
    <row r="3773" spans="8:8" x14ac:dyDescent="0.35">
      <c r="H3773" s="36" t="s">
        <v>42</v>
      </c>
    </row>
    <row r="3774" spans="8:8" x14ac:dyDescent="0.35">
      <c r="H3774" s="36" t="s">
        <v>42</v>
      </c>
    </row>
    <row r="3775" spans="8:8" x14ac:dyDescent="0.35">
      <c r="H3775" s="36" t="s">
        <v>42</v>
      </c>
    </row>
    <row r="3776" spans="8:8" x14ac:dyDescent="0.35">
      <c r="H3776" s="36" t="s">
        <v>42</v>
      </c>
    </row>
    <row r="3777" spans="8:8" x14ac:dyDescent="0.35">
      <c r="H3777" s="36" t="s">
        <v>42</v>
      </c>
    </row>
    <row r="3778" spans="8:8" x14ac:dyDescent="0.35">
      <c r="H3778" s="36" t="s">
        <v>42</v>
      </c>
    </row>
    <row r="3779" spans="8:8" x14ac:dyDescent="0.35">
      <c r="H3779" s="36" t="s">
        <v>42</v>
      </c>
    </row>
    <row r="3780" spans="8:8" x14ac:dyDescent="0.35">
      <c r="H3780" s="36" t="s">
        <v>42</v>
      </c>
    </row>
    <row r="3781" spans="8:8" x14ac:dyDescent="0.35">
      <c r="H3781" s="36" t="s">
        <v>42</v>
      </c>
    </row>
    <row r="3782" spans="8:8" x14ac:dyDescent="0.35">
      <c r="H3782" s="36" t="s">
        <v>42</v>
      </c>
    </row>
    <row r="3783" spans="8:8" x14ac:dyDescent="0.35">
      <c r="H3783" s="36" t="s">
        <v>42</v>
      </c>
    </row>
    <row r="3784" spans="8:8" x14ac:dyDescent="0.35">
      <c r="H3784" s="36" t="s">
        <v>42</v>
      </c>
    </row>
    <row r="3785" spans="8:8" x14ac:dyDescent="0.35">
      <c r="H3785" s="36" t="s">
        <v>42</v>
      </c>
    </row>
    <row r="3786" spans="8:8" x14ac:dyDescent="0.35">
      <c r="H3786" s="36" t="s">
        <v>42</v>
      </c>
    </row>
    <row r="3787" spans="8:8" x14ac:dyDescent="0.35">
      <c r="H3787" s="36" t="s">
        <v>42</v>
      </c>
    </row>
    <row r="3788" spans="8:8" x14ac:dyDescent="0.35">
      <c r="H3788" s="36" t="s">
        <v>42</v>
      </c>
    </row>
    <row r="3789" spans="8:8" x14ac:dyDescent="0.35">
      <c r="H3789" s="36" t="s">
        <v>42</v>
      </c>
    </row>
    <row r="3790" spans="8:8" x14ac:dyDescent="0.35">
      <c r="H3790" s="36" t="s">
        <v>42</v>
      </c>
    </row>
    <row r="3791" spans="8:8" x14ac:dyDescent="0.35">
      <c r="H3791" s="36" t="s">
        <v>42</v>
      </c>
    </row>
    <row r="3792" spans="8:8" x14ac:dyDescent="0.35">
      <c r="H3792" s="36" t="s">
        <v>42</v>
      </c>
    </row>
    <row r="3793" spans="8:8" x14ac:dyDescent="0.35">
      <c r="H3793" s="36" t="s">
        <v>42</v>
      </c>
    </row>
    <row r="3794" spans="8:8" x14ac:dyDescent="0.35">
      <c r="H3794" s="36" t="s">
        <v>42</v>
      </c>
    </row>
    <row r="3795" spans="8:8" x14ac:dyDescent="0.35">
      <c r="H3795" s="36" t="s">
        <v>42</v>
      </c>
    </row>
    <row r="3796" spans="8:8" x14ac:dyDescent="0.35">
      <c r="H3796" s="36" t="s">
        <v>42</v>
      </c>
    </row>
    <row r="3797" spans="8:8" x14ac:dyDescent="0.35">
      <c r="H3797" s="36" t="s">
        <v>42</v>
      </c>
    </row>
    <row r="3798" spans="8:8" x14ac:dyDescent="0.35">
      <c r="H3798" s="36" t="s">
        <v>42</v>
      </c>
    </row>
    <row r="3799" spans="8:8" x14ac:dyDescent="0.35">
      <c r="H3799" s="36" t="s">
        <v>42</v>
      </c>
    </row>
    <row r="3800" spans="8:8" x14ac:dyDescent="0.35">
      <c r="H3800" s="36" t="s">
        <v>42</v>
      </c>
    </row>
    <row r="3801" spans="8:8" x14ac:dyDescent="0.35">
      <c r="H3801" s="36" t="s">
        <v>42</v>
      </c>
    </row>
    <row r="3802" spans="8:8" x14ac:dyDescent="0.35">
      <c r="H3802" s="36" t="s">
        <v>42</v>
      </c>
    </row>
    <row r="3803" spans="8:8" x14ac:dyDescent="0.35">
      <c r="H3803" s="36" t="s">
        <v>42</v>
      </c>
    </row>
    <row r="3804" spans="8:8" x14ac:dyDescent="0.35">
      <c r="H3804" s="36" t="s">
        <v>42</v>
      </c>
    </row>
    <row r="3805" spans="8:8" x14ac:dyDescent="0.35">
      <c r="H3805" s="36" t="s">
        <v>42</v>
      </c>
    </row>
    <row r="3806" spans="8:8" x14ac:dyDescent="0.35">
      <c r="H3806" s="36" t="s">
        <v>42</v>
      </c>
    </row>
    <row r="3807" spans="8:8" x14ac:dyDescent="0.35">
      <c r="H3807" s="36" t="s">
        <v>42</v>
      </c>
    </row>
    <row r="3808" spans="8:8" x14ac:dyDescent="0.35">
      <c r="H3808" s="36" t="s">
        <v>42</v>
      </c>
    </row>
    <row r="3809" spans="8:8" x14ac:dyDescent="0.35">
      <c r="H3809" s="36" t="s">
        <v>42</v>
      </c>
    </row>
    <row r="3810" spans="8:8" x14ac:dyDescent="0.35">
      <c r="H3810" s="36" t="s">
        <v>42</v>
      </c>
    </row>
    <row r="3811" spans="8:8" x14ac:dyDescent="0.35">
      <c r="H3811" s="36" t="s">
        <v>42</v>
      </c>
    </row>
    <row r="3812" spans="8:8" x14ac:dyDescent="0.35">
      <c r="H3812" s="36" t="s">
        <v>42</v>
      </c>
    </row>
    <row r="3813" spans="8:8" x14ac:dyDescent="0.35">
      <c r="H3813" s="36" t="s">
        <v>42</v>
      </c>
    </row>
    <row r="3814" spans="8:8" x14ac:dyDescent="0.35">
      <c r="H3814" s="36" t="s">
        <v>42</v>
      </c>
    </row>
    <row r="3815" spans="8:8" x14ac:dyDescent="0.35">
      <c r="H3815" s="36" t="s">
        <v>42</v>
      </c>
    </row>
    <row r="3816" spans="8:8" x14ac:dyDescent="0.35">
      <c r="H3816" s="36" t="s">
        <v>42</v>
      </c>
    </row>
    <row r="3817" spans="8:8" x14ac:dyDescent="0.35">
      <c r="H3817" s="36" t="s">
        <v>42</v>
      </c>
    </row>
    <row r="3818" spans="8:8" x14ac:dyDescent="0.35">
      <c r="H3818" s="36" t="s">
        <v>42</v>
      </c>
    </row>
    <row r="3819" spans="8:8" x14ac:dyDescent="0.35">
      <c r="H3819" s="36" t="s">
        <v>42</v>
      </c>
    </row>
    <row r="3820" spans="8:8" x14ac:dyDescent="0.35">
      <c r="H3820" s="36" t="s">
        <v>42</v>
      </c>
    </row>
    <row r="3821" spans="8:8" x14ac:dyDescent="0.35">
      <c r="H3821" s="36" t="s">
        <v>42</v>
      </c>
    </row>
    <row r="3822" spans="8:8" x14ac:dyDescent="0.35">
      <c r="H3822" s="36" t="s">
        <v>42</v>
      </c>
    </row>
    <row r="3823" spans="8:8" x14ac:dyDescent="0.35">
      <c r="H3823" s="36" t="s">
        <v>42</v>
      </c>
    </row>
    <row r="3824" spans="8:8" x14ac:dyDescent="0.35">
      <c r="H3824" s="36" t="s">
        <v>42</v>
      </c>
    </row>
    <row r="3825" spans="8:8" x14ac:dyDescent="0.35">
      <c r="H3825" s="36" t="s">
        <v>42</v>
      </c>
    </row>
    <row r="3826" spans="8:8" x14ac:dyDescent="0.35">
      <c r="H3826" s="36" t="s">
        <v>42</v>
      </c>
    </row>
    <row r="3827" spans="8:8" x14ac:dyDescent="0.35">
      <c r="H3827" s="36" t="s">
        <v>42</v>
      </c>
    </row>
    <row r="3828" spans="8:8" x14ac:dyDescent="0.35">
      <c r="H3828" s="36" t="s">
        <v>42</v>
      </c>
    </row>
    <row r="3829" spans="8:8" x14ac:dyDescent="0.35">
      <c r="H3829" s="36" t="s">
        <v>42</v>
      </c>
    </row>
    <row r="3830" spans="8:8" x14ac:dyDescent="0.35">
      <c r="H3830" s="36" t="s">
        <v>42</v>
      </c>
    </row>
    <row r="3831" spans="8:8" x14ac:dyDescent="0.35">
      <c r="H3831" s="36" t="s">
        <v>42</v>
      </c>
    </row>
    <row r="3832" spans="8:8" x14ac:dyDescent="0.35">
      <c r="H3832" s="36" t="s">
        <v>42</v>
      </c>
    </row>
    <row r="3833" spans="8:8" x14ac:dyDescent="0.35">
      <c r="H3833" s="36" t="s">
        <v>42</v>
      </c>
    </row>
    <row r="3834" spans="8:8" x14ac:dyDescent="0.35">
      <c r="H3834" s="36" t="s">
        <v>42</v>
      </c>
    </row>
    <row r="3835" spans="8:8" x14ac:dyDescent="0.35">
      <c r="H3835" s="36" t="s">
        <v>42</v>
      </c>
    </row>
    <row r="3836" spans="8:8" x14ac:dyDescent="0.35">
      <c r="H3836" s="36" t="s">
        <v>42</v>
      </c>
    </row>
    <row r="3837" spans="8:8" x14ac:dyDescent="0.35">
      <c r="H3837" s="36" t="s">
        <v>42</v>
      </c>
    </row>
    <row r="3838" spans="8:8" x14ac:dyDescent="0.35">
      <c r="H3838" s="36" t="s">
        <v>42</v>
      </c>
    </row>
    <row r="3839" spans="8:8" x14ac:dyDescent="0.35">
      <c r="H3839" s="36" t="s">
        <v>42</v>
      </c>
    </row>
    <row r="3840" spans="8:8" x14ac:dyDescent="0.35">
      <c r="H3840" s="36" t="s">
        <v>42</v>
      </c>
    </row>
    <row r="3841" spans="8:8" x14ac:dyDescent="0.35">
      <c r="H3841" s="36" t="s">
        <v>42</v>
      </c>
    </row>
    <row r="3842" spans="8:8" x14ac:dyDescent="0.35">
      <c r="H3842" s="36" t="s">
        <v>42</v>
      </c>
    </row>
    <row r="3843" spans="8:8" x14ac:dyDescent="0.35">
      <c r="H3843" s="36" t="s">
        <v>42</v>
      </c>
    </row>
    <row r="3844" spans="8:8" x14ac:dyDescent="0.35">
      <c r="H3844" s="36" t="s">
        <v>42</v>
      </c>
    </row>
    <row r="3845" spans="8:8" x14ac:dyDescent="0.35">
      <c r="H3845" s="36" t="s">
        <v>42</v>
      </c>
    </row>
    <row r="3846" spans="8:8" x14ac:dyDescent="0.35">
      <c r="H3846" s="36" t="s">
        <v>42</v>
      </c>
    </row>
    <row r="3847" spans="8:8" x14ac:dyDescent="0.35">
      <c r="H3847" s="36" t="s">
        <v>42</v>
      </c>
    </row>
    <row r="3848" spans="8:8" x14ac:dyDescent="0.35">
      <c r="H3848" s="36" t="s">
        <v>42</v>
      </c>
    </row>
    <row r="3849" spans="8:8" x14ac:dyDescent="0.35">
      <c r="H3849" s="36" t="s">
        <v>42</v>
      </c>
    </row>
    <row r="3850" spans="8:8" x14ac:dyDescent="0.35">
      <c r="H3850" s="36" t="s">
        <v>42</v>
      </c>
    </row>
    <row r="3851" spans="8:8" x14ac:dyDescent="0.35">
      <c r="H3851" s="36" t="s">
        <v>42</v>
      </c>
    </row>
    <row r="3852" spans="8:8" x14ac:dyDescent="0.35">
      <c r="H3852" s="36" t="s">
        <v>42</v>
      </c>
    </row>
    <row r="3853" spans="8:8" x14ac:dyDescent="0.35">
      <c r="H3853" s="36" t="s">
        <v>42</v>
      </c>
    </row>
    <row r="3854" spans="8:8" x14ac:dyDescent="0.35">
      <c r="H3854" s="36" t="s">
        <v>42</v>
      </c>
    </row>
    <row r="3855" spans="8:8" x14ac:dyDescent="0.35">
      <c r="H3855" s="36" t="s">
        <v>42</v>
      </c>
    </row>
    <row r="3856" spans="8:8" x14ac:dyDescent="0.35">
      <c r="H3856" s="36" t="s">
        <v>42</v>
      </c>
    </row>
    <row r="3857" spans="8:8" x14ac:dyDescent="0.35">
      <c r="H3857" s="36" t="s">
        <v>42</v>
      </c>
    </row>
    <row r="3858" spans="8:8" x14ac:dyDescent="0.35">
      <c r="H3858" s="36" t="s">
        <v>42</v>
      </c>
    </row>
    <row r="3859" spans="8:8" x14ac:dyDescent="0.35">
      <c r="H3859" s="36" t="s">
        <v>42</v>
      </c>
    </row>
    <row r="3860" spans="8:8" x14ac:dyDescent="0.35">
      <c r="H3860" s="36" t="s">
        <v>42</v>
      </c>
    </row>
    <row r="3861" spans="8:8" x14ac:dyDescent="0.35">
      <c r="H3861" s="36" t="s">
        <v>42</v>
      </c>
    </row>
    <row r="3862" spans="8:8" x14ac:dyDescent="0.35">
      <c r="H3862" s="36" t="s">
        <v>42</v>
      </c>
    </row>
    <row r="3863" spans="8:8" x14ac:dyDescent="0.35">
      <c r="H3863" s="36" t="s">
        <v>42</v>
      </c>
    </row>
    <row r="3864" spans="8:8" x14ac:dyDescent="0.35">
      <c r="H3864" s="36" t="s">
        <v>42</v>
      </c>
    </row>
    <row r="3865" spans="8:8" x14ac:dyDescent="0.35">
      <c r="H3865" s="36" t="s">
        <v>42</v>
      </c>
    </row>
    <row r="3866" spans="8:8" x14ac:dyDescent="0.35">
      <c r="H3866" s="36" t="s">
        <v>42</v>
      </c>
    </row>
    <row r="3867" spans="8:8" x14ac:dyDescent="0.35">
      <c r="H3867" s="36" t="s">
        <v>42</v>
      </c>
    </row>
    <row r="3868" spans="8:8" x14ac:dyDescent="0.35">
      <c r="H3868" s="36" t="s">
        <v>42</v>
      </c>
    </row>
    <row r="3869" spans="8:8" x14ac:dyDescent="0.35">
      <c r="H3869" s="36" t="s">
        <v>42</v>
      </c>
    </row>
    <row r="3870" spans="8:8" x14ac:dyDescent="0.35">
      <c r="H3870" s="36" t="s">
        <v>42</v>
      </c>
    </row>
    <row r="3871" spans="8:8" x14ac:dyDescent="0.35">
      <c r="H3871" s="36" t="s">
        <v>42</v>
      </c>
    </row>
    <row r="3872" spans="8:8" x14ac:dyDescent="0.35">
      <c r="H3872" s="36" t="s">
        <v>42</v>
      </c>
    </row>
    <row r="3873" spans="8:8" x14ac:dyDescent="0.35">
      <c r="H3873" s="36" t="s">
        <v>42</v>
      </c>
    </row>
    <row r="3874" spans="8:8" x14ac:dyDescent="0.35">
      <c r="H3874" s="36" t="s">
        <v>42</v>
      </c>
    </row>
    <row r="3875" spans="8:8" x14ac:dyDescent="0.35">
      <c r="H3875" s="36" t="s">
        <v>42</v>
      </c>
    </row>
    <row r="3876" spans="8:8" x14ac:dyDescent="0.35">
      <c r="H3876" s="36" t="s">
        <v>42</v>
      </c>
    </row>
    <row r="3877" spans="8:8" x14ac:dyDescent="0.35">
      <c r="H3877" s="36" t="s">
        <v>42</v>
      </c>
    </row>
    <row r="3878" spans="8:8" x14ac:dyDescent="0.35">
      <c r="H3878" s="36" t="s">
        <v>42</v>
      </c>
    </row>
    <row r="3879" spans="8:8" x14ac:dyDescent="0.35">
      <c r="H3879" s="36" t="s">
        <v>42</v>
      </c>
    </row>
    <row r="3880" spans="8:8" x14ac:dyDescent="0.35">
      <c r="H3880" s="36" t="s">
        <v>42</v>
      </c>
    </row>
    <row r="3881" spans="8:8" x14ac:dyDescent="0.35">
      <c r="H3881" s="36" t="s">
        <v>42</v>
      </c>
    </row>
    <row r="3882" spans="8:8" x14ac:dyDescent="0.35">
      <c r="H3882" s="36" t="s">
        <v>42</v>
      </c>
    </row>
    <row r="3883" spans="8:8" x14ac:dyDescent="0.35">
      <c r="H3883" s="36" t="s">
        <v>42</v>
      </c>
    </row>
    <row r="3884" spans="8:8" x14ac:dyDescent="0.35">
      <c r="H3884" s="36" t="s">
        <v>42</v>
      </c>
    </row>
    <row r="3885" spans="8:8" x14ac:dyDescent="0.35">
      <c r="H3885" s="36" t="s">
        <v>42</v>
      </c>
    </row>
    <row r="3886" spans="8:8" x14ac:dyDescent="0.35">
      <c r="H3886" s="36" t="s">
        <v>42</v>
      </c>
    </row>
    <row r="3887" spans="8:8" x14ac:dyDescent="0.35">
      <c r="H3887" s="36" t="s">
        <v>42</v>
      </c>
    </row>
    <row r="3888" spans="8:8" x14ac:dyDescent="0.35">
      <c r="H3888" s="36" t="s">
        <v>42</v>
      </c>
    </row>
    <row r="3889" spans="8:8" x14ac:dyDescent="0.35">
      <c r="H3889" s="36" t="s">
        <v>42</v>
      </c>
    </row>
    <row r="3890" spans="8:8" x14ac:dyDescent="0.35">
      <c r="H3890" s="36" t="s">
        <v>42</v>
      </c>
    </row>
    <row r="3891" spans="8:8" x14ac:dyDescent="0.35">
      <c r="H3891" s="36" t="s">
        <v>42</v>
      </c>
    </row>
    <row r="3892" spans="8:8" x14ac:dyDescent="0.35">
      <c r="H3892" s="36" t="s">
        <v>42</v>
      </c>
    </row>
    <row r="3893" spans="8:8" x14ac:dyDescent="0.35">
      <c r="H3893" s="36" t="s">
        <v>42</v>
      </c>
    </row>
    <row r="3894" spans="8:8" x14ac:dyDescent="0.35">
      <c r="H3894" s="36" t="s">
        <v>42</v>
      </c>
    </row>
    <row r="3895" spans="8:8" x14ac:dyDescent="0.35">
      <c r="H3895" s="36" t="s">
        <v>42</v>
      </c>
    </row>
    <row r="3896" spans="8:8" x14ac:dyDescent="0.35">
      <c r="H3896" s="36" t="s">
        <v>42</v>
      </c>
    </row>
    <row r="3897" spans="8:8" x14ac:dyDescent="0.35">
      <c r="H3897" s="36" t="s">
        <v>42</v>
      </c>
    </row>
    <row r="3898" spans="8:8" x14ac:dyDescent="0.35">
      <c r="H3898" s="36" t="s">
        <v>42</v>
      </c>
    </row>
    <row r="3899" spans="8:8" x14ac:dyDescent="0.35">
      <c r="H3899" s="36" t="s">
        <v>42</v>
      </c>
    </row>
    <row r="3900" spans="8:8" x14ac:dyDescent="0.35">
      <c r="H3900" s="36" t="s">
        <v>42</v>
      </c>
    </row>
    <row r="3901" spans="8:8" x14ac:dyDescent="0.35">
      <c r="H3901" s="36" t="s">
        <v>42</v>
      </c>
    </row>
    <row r="3902" spans="8:8" x14ac:dyDescent="0.35">
      <c r="H3902" s="36" t="s">
        <v>42</v>
      </c>
    </row>
    <row r="3903" spans="8:8" x14ac:dyDescent="0.35">
      <c r="H3903" s="36" t="s">
        <v>42</v>
      </c>
    </row>
    <row r="3904" spans="8:8" x14ac:dyDescent="0.35">
      <c r="H3904" s="36" t="s">
        <v>42</v>
      </c>
    </row>
    <row r="3905" spans="8:8" x14ac:dyDescent="0.35">
      <c r="H3905" s="36" t="s">
        <v>42</v>
      </c>
    </row>
    <row r="3906" spans="8:8" x14ac:dyDescent="0.35">
      <c r="H3906" s="36" t="s">
        <v>42</v>
      </c>
    </row>
    <row r="3907" spans="8:8" x14ac:dyDescent="0.35">
      <c r="H3907" s="36" t="s">
        <v>42</v>
      </c>
    </row>
    <row r="3908" spans="8:8" x14ac:dyDescent="0.35">
      <c r="H3908" s="36" t="s">
        <v>42</v>
      </c>
    </row>
    <row r="3909" spans="8:8" x14ac:dyDescent="0.35">
      <c r="H3909" s="36" t="s">
        <v>42</v>
      </c>
    </row>
    <row r="3910" spans="8:8" x14ac:dyDescent="0.35">
      <c r="H3910" s="36" t="s">
        <v>42</v>
      </c>
    </row>
    <row r="3911" spans="8:8" x14ac:dyDescent="0.35">
      <c r="H3911" s="36" t="s">
        <v>42</v>
      </c>
    </row>
    <row r="3912" spans="8:8" x14ac:dyDescent="0.35">
      <c r="H3912" s="36" t="s">
        <v>42</v>
      </c>
    </row>
    <row r="3913" spans="8:8" x14ac:dyDescent="0.35">
      <c r="H3913" s="36" t="s">
        <v>42</v>
      </c>
    </row>
    <row r="3914" spans="8:8" x14ac:dyDescent="0.35">
      <c r="H3914" s="36" t="s">
        <v>42</v>
      </c>
    </row>
    <row r="3915" spans="8:8" x14ac:dyDescent="0.35">
      <c r="H3915" s="36" t="s">
        <v>42</v>
      </c>
    </row>
    <row r="3916" spans="8:8" x14ac:dyDescent="0.35">
      <c r="H3916" s="36" t="s">
        <v>42</v>
      </c>
    </row>
    <row r="3917" spans="8:8" x14ac:dyDescent="0.35">
      <c r="H3917" s="36" t="s">
        <v>42</v>
      </c>
    </row>
    <row r="3918" spans="8:8" x14ac:dyDescent="0.35">
      <c r="H3918" s="36" t="s">
        <v>42</v>
      </c>
    </row>
    <row r="3919" spans="8:8" x14ac:dyDescent="0.35">
      <c r="H3919" s="36" t="s">
        <v>42</v>
      </c>
    </row>
    <row r="3920" spans="8:8" x14ac:dyDescent="0.35">
      <c r="H3920" s="36" t="s">
        <v>42</v>
      </c>
    </row>
    <row r="3921" spans="8:8" x14ac:dyDescent="0.35">
      <c r="H3921" s="36" t="s">
        <v>42</v>
      </c>
    </row>
    <row r="3922" spans="8:8" x14ac:dyDescent="0.35">
      <c r="H3922" s="36" t="s">
        <v>42</v>
      </c>
    </row>
    <row r="3923" spans="8:8" x14ac:dyDescent="0.35">
      <c r="H3923" s="36" t="s">
        <v>42</v>
      </c>
    </row>
    <row r="3924" spans="8:8" x14ac:dyDescent="0.35">
      <c r="H3924" s="36" t="s">
        <v>42</v>
      </c>
    </row>
    <row r="3925" spans="8:8" x14ac:dyDescent="0.35">
      <c r="H3925" s="36" t="s">
        <v>42</v>
      </c>
    </row>
    <row r="3926" spans="8:8" x14ac:dyDescent="0.35">
      <c r="H3926" s="36" t="s">
        <v>42</v>
      </c>
    </row>
    <row r="3927" spans="8:8" x14ac:dyDescent="0.35">
      <c r="H3927" s="36" t="s">
        <v>42</v>
      </c>
    </row>
    <row r="3928" spans="8:8" x14ac:dyDescent="0.35">
      <c r="H3928" s="36" t="s">
        <v>42</v>
      </c>
    </row>
    <row r="3929" spans="8:8" x14ac:dyDescent="0.35">
      <c r="H3929" s="36" t="s">
        <v>42</v>
      </c>
    </row>
    <row r="3930" spans="8:8" x14ac:dyDescent="0.35">
      <c r="H3930" s="36" t="s">
        <v>42</v>
      </c>
    </row>
    <row r="3931" spans="8:8" x14ac:dyDescent="0.35">
      <c r="H3931" s="36" t="s">
        <v>42</v>
      </c>
    </row>
    <row r="3932" spans="8:8" x14ac:dyDescent="0.35">
      <c r="H3932" s="36" t="s">
        <v>42</v>
      </c>
    </row>
    <row r="3933" spans="8:8" x14ac:dyDescent="0.35">
      <c r="H3933" s="36" t="s">
        <v>42</v>
      </c>
    </row>
    <row r="3934" spans="8:8" x14ac:dyDescent="0.35">
      <c r="H3934" s="36" t="s">
        <v>42</v>
      </c>
    </row>
    <row r="3935" spans="8:8" x14ac:dyDescent="0.35">
      <c r="H3935" s="36" t="s">
        <v>42</v>
      </c>
    </row>
    <row r="3936" spans="8:8" x14ac:dyDescent="0.35">
      <c r="H3936" s="36" t="s">
        <v>42</v>
      </c>
    </row>
    <row r="3937" spans="8:8" x14ac:dyDescent="0.35">
      <c r="H3937" s="36" t="s">
        <v>42</v>
      </c>
    </row>
    <row r="3938" spans="8:8" x14ac:dyDescent="0.35">
      <c r="H3938" s="36" t="s">
        <v>42</v>
      </c>
    </row>
    <row r="3939" spans="8:8" x14ac:dyDescent="0.35">
      <c r="H3939" s="36" t="s">
        <v>42</v>
      </c>
    </row>
    <row r="3940" spans="8:8" x14ac:dyDescent="0.35">
      <c r="H3940" s="36" t="s">
        <v>42</v>
      </c>
    </row>
    <row r="3941" spans="8:8" x14ac:dyDescent="0.35">
      <c r="H3941" s="36" t="s">
        <v>42</v>
      </c>
    </row>
    <row r="3942" spans="8:8" x14ac:dyDescent="0.35">
      <c r="H3942" s="36" t="s">
        <v>42</v>
      </c>
    </row>
    <row r="3943" spans="8:8" x14ac:dyDescent="0.35">
      <c r="H3943" s="36" t="s">
        <v>42</v>
      </c>
    </row>
    <row r="3944" spans="8:8" x14ac:dyDescent="0.35">
      <c r="H3944" s="36" t="s">
        <v>42</v>
      </c>
    </row>
    <row r="3945" spans="8:8" x14ac:dyDescent="0.35">
      <c r="H3945" s="36" t="s">
        <v>42</v>
      </c>
    </row>
    <row r="3946" spans="8:8" x14ac:dyDescent="0.35">
      <c r="H3946" s="36" t="s">
        <v>42</v>
      </c>
    </row>
    <row r="3947" spans="8:8" x14ac:dyDescent="0.35">
      <c r="H3947" s="36" t="s">
        <v>42</v>
      </c>
    </row>
    <row r="3948" spans="8:8" x14ac:dyDescent="0.35">
      <c r="H3948" s="36" t="s">
        <v>42</v>
      </c>
    </row>
    <row r="3949" spans="8:8" x14ac:dyDescent="0.35">
      <c r="H3949" s="36" t="s">
        <v>42</v>
      </c>
    </row>
    <row r="3950" spans="8:8" x14ac:dyDescent="0.35">
      <c r="H3950" s="36" t="s">
        <v>42</v>
      </c>
    </row>
    <row r="3951" spans="8:8" x14ac:dyDescent="0.35">
      <c r="H3951" s="36" t="s">
        <v>42</v>
      </c>
    </row>
    <row r="3952" spans="8:8" x14ac:dyDescent="0.35">
      <c r="H3952" s="36" t="s">
        <v>42</v>
      </c>
    </row>
    <row r="3953" spans="8:8" x14ac:dyDescent="0.35">
      <c r="H3953" s="36" t="s">
        <v>42</v>
      </c>
    </row>
    <row r="3954" spans="8:8" x14ac:dyDescent="0.35">
      <c r="H3954" s="36" t="s">
        <v>42</v>
      </c>
    </row>
    <row r="3955" spans="8:8" x14ac:dyDescent="0.35">
      <c r="H3955" s="36" t="s">
        <v>42</v>
      </c>
    </row>
    <row r="3956" spans="8:8" x14ac:dyDescent="0.35">
      <c r="H3956" s="36" t="s">
        <v>42</v>
      </c>
    </row>
    <row r="3957" spans="8:8" x14ac:dyDescent="0.35">
      <c r="H3957" s="36" t="s">
        <v>42</v>
      </c>
    </row>
    <row r="3958" spans="8:8" x14ac:dyDescent="0.35">
      <c r="H3958" s="36" t="s">
        <v>42</v>
      </c>
    </row>
    <row r="3959" spans="8:8" x14ac:dyDescent="0.35">
      <c r="H3959" s="36" t="s">
        <v>42</v>
      </c>
    </row>
    <row r="3960" spans="8:8" x14ac:dyDescent="0.35">
      <c r="H3960" s="36" t="s">
        <v>42</v>
      </c>
    </row>
    <row r="3961" spans="8:8" x14ac:dyDescent="0.35">
      <c r="H3961" s="36" t="s">
        <v>42</v>
      </c>
    </row>
    <row r="3962" spans="8:8" x14ac:dyDescent="0.35">
      <c r="H3962" s="36" t="s">
        <v>42</v>
      </c>
    </row>
    <row r="3963" spans="8:8" x14ac:dyDescent="0.35">
      <c r="H3963" s="36" t="s">
        <v>42</v>
      </c>
    </row>
    <row r="3964" spans="8:8" x14ac:dyDescent="0.35">
      <c r="H3964" s="36" t="s">
        <v>42</v>
      </c>
    </row>
    <row r="3965" spans="8:8" x14ac:dyDescent="0.35">
      <c r="H3965" s="36" t="s">
        <v>42</v>
      </c>
    </row>
    <row r="3966" spans="8:8" x14ac:dyDescent="0.35">
      <c r="H3966" s="36" t="s">
        <v>42</v>
      </c>
    </row>
    <row r="3967" spans="8:8" x14ac:dyDescent="0.35">
      <c r="H3967" s="36" t="s">
        <v>42</v>
      </c>
    </row>
    <row r="3968" spans="8:8" x14ac:dyDescent="0.35">
      <c r="H3968" s="36" t="s">
        <v>42</v>
      </c>
    </row>
    <row r="3969" spans="8:8" x14ac:dyDescent="0.35">
      <c r="H3969" s="36" t="s">
        <v>42</v>
      </c>
    </row>
    <row r="3970" spans="8:8" x14ac:dyDescent="0.35">
      <c r="H3970" s="36" t="s">
        <v>42</v>
      </c>
    </row>
    <row r="3971" spans="8:8" x14ac:dyDescent="0.35">
      <c r="H3971" s="36" t="s">
        <v>42</v>
      </c>
    </row>
    <row r="3972" spans="8:8" x14ac:dyDescent="0.35">
      <c r="H3972" s="36" t="s">
        <v>42</v>
      </c>
    </row>
    <row r="3973" spans="8:8" x14ac:dyDescent="0.35">
      <c r="H3973" s="36" t="s">
        <v>42</v>
      </c>
    </row>
    <row r="3974" spans="8:8" x14ac:dyDescent="0.35">
      <c r="H3974" s="36" t="s">
        <v>42</v>
      </c>
    </row>
    <row r="3975" spans="8:8" x14ac:dyDescent="0.35">
      <c r="H3975" s="36" t="s">
        <v>42</v>
      </c>
    </row>
    <row r="3976" spans="8:8" x14ac:dyDescent="0.35">
      <c r="H3976" s="36" t="s">
        <v>42</v>
      </c>
    </row>
    <row r="3977" spans="8:8" x14ac:dyDescent="0.35">
      <c r="H3977" s="36" t="s">
        <v>42</v>
      </c>
    </row>
    <row r="3978" spans="8:8" x14ac:dyDescent="0.35">
      <c r="H3978" s="36" t="s">
        <v>42</v>
      </c>
    </row>
    <row r="3979" spans="8:8" x14ac:dyDescent="0.35">
      <c r="H3979" s="36" t="s">
        <v>42</v>
      </c>
    </row>
    <row r="3980" spans="8:8" x14ac:dyDescent="0.35">
      <c r="H3980" s="36" t="s">
        <v>42</v>
      </c>
    </row>
    <row r="3981" spans="8:8" x14ac:dyDescent="0.35">
      <c r="H3981" s="36" t="s">
        <v>42</v>
      </c>
    </row>
    <row r="3982" spans="8:8" x14ac:dyDescent="0.35">
      <c r="H3982" s="36" t="s">
        <v>42</v>
      </c>
    </row>
    <row r="3983" spans="8:8" x14ac:dyDescent="0.35">
      <c r="H3983" s="36" t="s">
        <v>42</v>
      </c>
    </row>
    <row r="3984" spans="8:8" x14ac:dyDescent="0.35">
      <c r="H3984" s="36" t="s">
        <v>42</v>
      </c>
    </row>
    <row r="3985" spans="8:8" x14ac:dyDescent="0.35">
      <c r="H3985" s="36" t="s">
        <v>42</v>
      </c>
    </row>
    <row r="3986" spans="8:8" x14ac:dyDescent="0.35">
      <c r="H3986" s="36" t="s">
        <v>42</v>
      </c>
    </row>
    <row r="3987" spans="8:8" x14ac:dyDescent="0.35">
      <c r="H3987" s="36" t="s">
        <v>42</v>
      </c>
    </row>
    <row r="3988" spans="8:8" x14ac:dyDescent="0.35">
      <c r="H3988" s="36" t="s">
        <v>42</v>
      </c>
    </row>
    <row r="3989" spans="8:8" x14ac:dyDescent="0.35">
      <c r="H3989" s="36" t="s">
        <v>42</v>
      </c>
    </row>
    <row r="3990" spans="8:8" x14ac:dyDescent="0.35">
      <c r="H3990" s="36" t="s">
        <v>42</v>
      </c>
    </row>
    <row r="3991" spans="8:8" x14ac:dyDescent="0.35">
      <c r="H3991" s="36" t="s">
        <v>42</v>
      </c>
    </row>
    <row r="3992" spans="8:8" x14ac:dyDescent="0.35">
      <c r="H3992" s="36" t="s">
        <v>42</v>
      </c>
    </row>
    <row r="3993" spans="8:8" x14ac:dyDescent="0.35">
      <c r="H3993" s="36" t="s">
        <v>42</v>
      </c>
    </row>
    <row r="3994" spans="8:8" x14ac:dyDescent="0.35">
      <c r="H3994" s="36" t="s">
        <v>42</v>
      </c>
    </row>
    <row r="3995" spans="8:8" x14ac:dyDescent="0.35">
      <c r="H3995" s="36" t="s">
        <v>42</v>
      </c>
    </row>
    <row r="3996" spans="8:8" x14ac:dyDescent="0.35">
      <c r="H3996" s="36" t="s">
        <v>42</v>
      </c>
    </row>
    <row r="3997" spans="8:8" x14ac:dyDescent="0.35">
      <c r="H3997" s="36" t="s">
        <v>42</v>
      </c>
    </row>
    <row r="3998" spans="8:8" x14ac:dyDescent="0.35">
      <c r="H3998" s="36" t="s">
        <v>42</v>
      </c>
    </row>
    <row r="3999" spans="8:8" x14ac:dyDescent="0.35">
      <c r="H3999" s="36" t="s">
        <v>42</v>
      </c>
    </row>
    <row r="4000" spans="8:8" x14ac:dyDescent="0.35">
      <c r="H4000" s="36" t="s">
        <v>42</v>
      </c>
    </row>
    <row r="4001" spans="8:8" x14ac:dyDescent="0.35">
      <c r="H4001" s="36" t="s">
        <v>42</v>
      </c>
    </row>
    <row r="4002" spans="8:8" x14ac:dyDescent="0.35">
      <c r="H4002" s="36" t="s">
        <v>42</v>
      </c>
    </row>
    <row r="4003" spans="8:8" x14ac:dyDescent="0.35">
      <c r="H4003" s="36" t="s">
        <v>42</v>
      </c>
    </row>
    <row r="4004" spans="8:8" x14ac:dyDescent="0.35">
      <c r="H4004" s="36" t="s">
        <v>42</v>
      </c>
    </row>
    <row r="4005" spans="8:8" x14ac:dyDescent="0.35">
      <c r="H4005" s="36" t="s">
        <v>42</v>
      </c>
    </row>
    <row r="4006" spans="8:8" x14ac:dyDescent="0.35">
      <c r="H4006" s="36" t="s">
        <v>42</v>
      </c>
    </row>
    <row r="4007" spans="8:8" x14ac:dyDescent="0.35">
      <c r="H4007" s="36" t="s">
        <v>42</v>
      </c>
    </row>
    <row r="4008" spans="8:8" x14ac:dyDescent="0.35">
      <c r="H4008" s="36" t="s">
        <v>42</v>
      </c>
    </row>
    <row r="4009" spans="8:8" x14ac:dyDescent="0.35">
      <c r="H4009" s="36" t="s">
        <v>42</v>
      </c>
    </row>
    <row r="4010" spans="8:8" x14ac:dyDescent="0.35">
      <c r="H4010" s="36" t="s">
        <v>42</v>
      </c>
    </row>
    <row r="4011" spans="8:8" x14ac:dyDescent="0.35">
      <c r="H4011" s="36" t="s">
        <v>42</v>
      </c>
    </row>
    <row r="4012" spans="8:8" x14ac:dyDescent="0.35">
      <c r="H4012" s="36" t="s">
        <v>42</v>
      </c>
    </row>
    <row r="4013" spans="8:8" x14ac:dyDescent="0.35">
      <c r="H4013" s="36" t="s">
        <v>42</v>
      </c>
    </row>
    <row r="4014" spans="8:8" x14ac:dyDescent="0.35">
      <c r="H4014" s="36" t="s">
        <v>42</v>
      </c>
    </row>
    <row r="4015" spans="8:8" x14ac:dyDescent="0.35">
      <c r="H4015" s="36" t="s">
        <v>42</v>
      </c>
    </row>
    <row r="4016" spans="8:8" x14ac:dyDescent="0.35">
      <c r="H4016" s="36" t="s">
        <v>42</v>
      </c>
    </row>
    <row r="4017" spans="8:8" x14ac:dyDescent="0.35">
      <c r="H4017" s="36" t="s">
        <v>42</v>
      </c>
    </row>
    <row r="4018" spans="8:8" x14ac:dyDescent="0.35">
      <c r="H4018" s="36" t="s">
        <v>42</v>
      </c>
    </row>
    <row r="4019" spans="8:8" x14ac:dyDescent="0.35">
      <c r="H4019" s="36" t="s">
        <v>42</v>
      </c>
    </row>
    <row r="4020" spans="8:8" x14ac:dyDescent="0.35">
      <c r="H4020" s="36" t="s">
        <v>42</v>
      </c>
    </row>
    <row r="4021" spans="8:8" x14ac:dyDescent="0.35">
      <c r="H4021" s="36" t="s">
        <v>42</v>
      </c>
    </row>
    <row r="4022" spans="8:8" x14ac:dyDescent="0.35">
      <c r="H4022" s="36" t="s">
        <v>42</v>
      </c>
    </row>
    <row r="4023" spans="8:8" x14ac:dyDescent="0.35">
      <c r="H4023" s="36" t="s">
        <v>42</v>
      </c>
    </row>
    <row r="4024" spans="8:8" x14ac:dyDescent="0.35">
      <c r="H4024" s="36" t="s">
        <v>42</v>
      </c>
    </row>
    <row r="4025" spans="8:8" x14ac:dyDescent="0.35">
      <c r="H4025" s="36" t="s">
        <v>42</v>
      </c>
    </row>
    <row r="4026" spans="8:8" x14ac:dyDescent="0.35">
      <c r="H4026" s="36" t="s">
        <v>42</v>
      </c>
    </row>
    <row r="4027" spans="8:8" x14ac:dyDescent="0.35">
      <c r="H4027" s="36" t="s">
        <v>42</v>
      </c>
    </row>
    <row r="4028" spans="8:8" x14ac:dyDescent="0.35">
      <c r="H4028" s="36" t="s">
        <v>42</v>
      </c>
    </row>
    <row r="4029" spans="8:8" x14ac:dyDescent="0.35">
      <c r="H4029" s="36" t="s">
        <v>42</v>
      </c>
    </row>
    <row r="4030" spans="8:8" x14ac:dyDescent="0.35">
      <c r="H4030" s="36" t="s">
        <v>42</v>
      </c>
    </row>
    <row r="4031" spans="8:8" x14ac:dyDescent="0.35">
      <c r="H4031" s="36" t="s">
        <v>42</v>
      </c>
    </row>
    <row r="4032" spans="8:8" x14ac:dyDescent="0.35">
      <c r="H4032" s="36" t="s">
        <v>42</v>
      </c>
    </row>
    <row r="4033" spans="8:8" x14ac:dyDescent="0.35">
      <c r="H4033" s="36" t="s">
        <v>42</v>
      </c>
    </row>
    <row r="4034" spans="8:8" x14ac:dyDescent="0.35">
      <c r="H4034" s="36" t="s">
        <v>42</v>
      </c>
    </row>
    <row r="4035" spans="8:8" x14ac:dyDescent="0.35">
      <c r="H4035" s="36" t="s">
        <v>42</v>
      </c>
    </row>
    <row r="4036" spans="8:8" x14ac:dyDescent="0.35">
      <c r="H4036" s="36" t="s">
        <v>42</v>
      </c>
    </row>
    <row r="4037" spans="8:8" x14ac:dyDescent="0.35">
      <c r="H4037" s="36" t="s">
        <v>42</v>
      </c>
    </row>
    <row r="4038" spans="8:8" x14ac:dyDescent="0.35">
      <c r="H4038" s="36" t="s">
        <v>42</v>
      </c>
    </row>
    <row r="4039" spans="8:8" x14ac:dyDescent="0.35">
      <c r="H4039" s="36" t="s">
        <v>42</v>
      </c>
    </row>
    <row r="4040" spans="8:8" x14ac:dyDescent="0.35">
      <c r="H4040" s="36" t="s">
        <v>42</v>
      </c>
    </row>
    <row r="4041" spans="8:8" x14ac:dyDescent="0.35">
      <c r="H4041" s="36" t="s">
        <v>42</v>
      </c>
    </row>
    <row r="4042" spans="8:8" x14ac:dyDescent="0.35">
      <c r="H4042" s="36" t="s">
        <v>42</v>
      </c>
    </row>
    <row r="4043" spans="8:8" x14ac:dyDescent="0.35">
      <c r="H4043" s="36" t="s">
        <v>42</v>
      </c>
    </row>
    <row r="4044" spans="8:8" x14ac:dyDescent="0.35">
      <c r="H4044" s="36" t="s">
        <v>42</v>
      </c>
    </row>
    <row r="4045" spans="8:8" x14ac:dyDescent="0.35">
      <c r="H4045" s="36" t="s">
        <v>42</v>
      </c>
    </row>
    <row r="4046" spans="8:8" x14ac:dyDescent="0.35">
      <c r="H4046" s="36" t="s">
        <v>42</v>
      </c>
    </row>
    <row r="4047" spans="8:8" x14ac:dyDescent="0.35">
      <c r="H4047" s="36" t="s">
        <v>42</v>
      </c>
    </row>
    <row r="4048" spans="8:8" x14ac:dyDescent="0.35">
      <c r="H4048" s="36" t="s">
        <v>42</v>
      </c>
    </row>
    <row r="4049" spans="8:8" x14ac:dyDescent="0.35">
      <c r="H4049" s="36" t="s">
        <v>42</v>
      </c>
    </row>
    <row r="4050" spans="8:8" x14ac:dyDescent="0.35">
      <c r="H4050" s="36" t="s">
        <v>42</v>
      </c>
    </row>
    <row r="4051" spans="8:8" x14ac:dyDescent="0.35">
      <c r="H4051" s="36" t="s">
        <v>42</v>
      </c>
    </row>
    <row r="4052" spans="8:8" x14ac:dyDescent="0.35">
      <c r="H4052" s="36" t="s">
        <v>42</v>
      </c>
    </row>
    <row r="4053" spans="8:8" x14ac:dyDescent="0.35">
      <c r="H4053" s="36" t="s">
        <v>42</v>
      </c>
    </row>
    <row r="4054" spans="8:8" x14ac:dyDescent="0.35">
      <c r="H4054" s="36" t="s">
        <v>42</v>
      </c>
    </row>
    <row r="4055" spans="8:8" x14ac:dyDescent="0.35">
      <c r="H4055" s="36" t="s">
        <v>42</v>
      </c>
    </row>
    <row r="4056" spans="8:8" x14ac:dyDescent="0.35">
      <c r="H4056" s="36" t="s">
        <v>42</v>
      </c>
    </row>
    <row r="4057" spans="8:8" x14ac:dyDescent="0.35">
      <c r="H4057" s="36" t="s">
        <v>42</v>
      </c>
    </row>
    <row r="4058" spans="8:8" x14ac:dyDescent="0.35">
      <c r="H4058" s="36" t="s">
        <v>42</v>
      </c>
    </row>
    <row r="4059" spans="8:8" x14ac:dyDescent="0.35">
      <c r="H4059" s="36" t="s">
        <v>42</v>
      </c>
    </row>
    <row r="4060" spans="8:8" x14ac:dyDescent="0.35">
      <c r="H4060" s="36" t="s">
        <v>42</v>
      </c>
    </row>
    <row r="4061" spans="8:8" x14ac:dyDescent="0.35">
      <c r="H4061" s="36" t="s">
        <v>42</v>
      </c>
    </row>
    <row r="4062" spans="8:8" x14ac:dyDescent="0.35">
      <c r="H4062" s="36" t="s">
        <v>42</v>
      </c>
    </row>
    <row r="4063" spans="8:8" x14ac:dyDescent="0.35">
      <c r="H4063" s="36" t="s">
        <v>42</v>
      </c>
    </row>
    <row r="4064" spans="8:8" x14ac:dyDescent="0.35">
      <c r="H4064" s="36" t="s">
        <v>42</v>
      </c>
    </row>
    <row r="4065" spans="8:8" x14ac:dyDescent="0.35">
      <c r="H4065" s="36" t="s">
        <v>42</v>
      </c>
    </row>
    <row r="4066" spans="8:8" x14ac:dyDescent="0.35">
      <c r="H4066" s="36" t="s">
        <v>42</v>
      </c>
    </row>
    <row r="4067" spans="8:8" x14ac:dyDescent="0.35">
      <c r="H4067" s="36" t="s">
        <v>42</v>
      </c>
    </row>
    <row r="4068" spans="8:8" x14ac:dyDescent="0.35">
      <c r="H4068" s="36" t="s">
        <v>42</v>
      </c>
    </row>
    <row r="4069" spans="8:8" x14ac:dyDescent="0.35">
      <c r="H4069" s="36" t="s">
        <v>42</v>
      </c>
    </row>
    <row r="4070" spans="8:8" x14ac:dyDescent="0.35">
      <c r="H4070" s="36" t="s">
        <v>42</v>
      </c>
    </row>
    <row r="4071" spans="8:8" x14ac:dyDescent="0.35">
      <c r="H4071" s="36" t="s">
        <v>42</v>
      </c>
    </row>
    <row r="4072" spans="8:8" x14ac:dyDescent="0.35">
      <c r="H4072" s="36" t="s">
        <v>42</v>
      </c>
    </row>
    <row r="4073" spans="8:8" x14ac:dyDescent="0.35">
      <c r="H4073" s="36" t="s">
        <v>42</v>
      </c>
    </row>
    <row r="4074" spans="8:8" x14ac:dyDescent="0.35">
      <c r="H4074" s="36" t="s">
        <v>42</v>
      </c>
    </row>
    <row r="4075" spans="8:8" x14ac:dyDescent="0.35">
      <c r="H4075" s="36" t="s">
        <v>42</v>
      </c>
    </row>
    <row r="4076" spans="8:8" x14ac:dyDescent="0.35">
      <c r="H4076" s="36" t="s">
        <v>42</v>
      </c>
    </row>
    <row r="4077" spans="8:8" x14ac:dyDescent="0.35">
      <c r="H4077" s="36" t="s">
        <v>42</v>
      </c>
    </row>
    <row r="4078" spans="8:8" x14ac:dyDescent="0.35">
      <c r="H4078" s="36" t="s">
        <v>42</v>
      </c>
    </row>
    <row r="4079" spans="8:8" x14ac:dyDescent="0.35">
      <c r="H4079" s="36" t="s">
        <v>42</v>
      </c>
    </row>
    <row r="4080" spans="8:8" x14ac:dyDescent="0.35">
      <c r="H4080" s="36" t="s">
        <v>42</v>
      </c>
    </row>
    <row r="4081" spans="8:8" x14ac:dyDescent="0.35">
      <c r="H4081" s="36" t="s">
        <v>42</v>
      </c>
    </row>
    <row r="4082" spans="8:8" x14ac:dyDescent="0.35">
      <c r="H4082" s="36" t="s">
        <v>42</v>
      </c>
    </row>
    <row r="4083" spans="8:8" x14ac:dyDescent="0.35">
      <c r="H4083" s="36" t="s">
        <v>42</v>
      </c>
    </row>
    <row r="4084" spans="8:8" x14ac:dyDescent="0.35">
      <c r="H4084" s="36" t="s">
        <v>42</v>
      </c>
    </row>
    <row r="4085" spans="8:8" x14ac:dyDescent="0.35">
      <c r="H4085" s="36" t="s">
        <v>42</v>
      </c>
    </row>
    <row r="4086" spans="8:8" x14ac:dyDescent="0.35">
      <c r="H4086" s="36" t="s">
        <v>42</v>
      </c>
    </row>
    <row r="4087" spans="8:8" x14ac:dyDescent="0.35">
      <c r="H4087" s="36" t="s">
        <v>42</v>
      </c>
    </row>
    <row r="4088" spans="8:8" x14ac:dyDescent="0.35">
      <c r="H4088" s="36" t="s">
        <v>42</v>
      </c>
    </row>
    <row r="4089" spans="8:8" x14ac:dyDescent="0.35">
      <c r="H4089" s="36" t="s">
        <v>42</v>
      </c>
    </row>
    <row r="4090" spans="8:8" x14ac:dyDescent="0.35">
      <c r="H4090" s="36" t="s">
        <v>42</v>
      </c>
    </row>
    <row r="4091" spans="8:8" x14ac:dyDescent="0.35">
      <c r="H4091" s="36" t="s">
        <v>42</v>
      </c>
    </row>
    <row r="4092" spans="8:8" x14ac:dyDescent="0.35">
      <c r="H4092" s="36" t="s">
        <v>42</v>
      </c>
    </row>
    <row r="4093" spans="8:8" x14ac:dyDescent="0.35">
      <c r="H4093" s="36" t="s">
        <v>42</v>
      </c>
    </row>
    <row r="4094" spans="8:8" x14ac:dyDescent="0.35">
      <c r="H4094" s="36" t="s">
        <v>42</v>
      </c>
    </row>
    <row r="4095" spans="8:8" x14ac:dyDescent="0.35">
      <c r="H4095" s="36" t="s">
        <v>42</v>
      </c>
    </row>
    <row r="4096" spans="8:8" x14ac:dyDescent="0.35">
      <c r="H4096" s="36" t="s">
        <v>42</v>
      </c>
    </row>
    <row r="4097" spans="8:8" x14ac:dyDescent="0.35">
      <c r="H4097" s="36" t="s">
        <v>42</v>
      </c>
    </row>
    <row r="4098" spans="8:8" x14ac:dyDescent="0.35">
      <c r="H4098" s="36" t="s">
        <v>42</v>
      </c>
    </row>
    <row r="4099" spans="8:8" x14ac:dyDescent="0.35">
      <c r="H4099" s="36" t="s">
        <v>42</v>
      </c>
    </row>
    <row r="4100" spans="8:8" x14ac:dyDescent="0.35">
      <c r="H4100" s="36" t="s">
        <v>42</v>
      </c>
    </row>
    <row r="4101" spans="8:8" x14ac:dyDescent="0.35">
      <c r="H4101" s="36" t="s">
        <v>42</v>
      </c>
    </row>
    <row r="4102" spans="8:8" x14ac:dyDescent="0.35">
      <c r="H4102" s="36" t="s">
        <v>42</v>
      </c>
    </row>
    <row r="4103" spans="8:8" x14ac:dyDescent="0.35">
      <c r="H4103" s="36" t="s">
        <v>42</v>
      </c>
    </row>
    <row r="4104" spans="8:8" x14ac:dyDescent="0.35">
      <c r="H4104" s="36" t="s">
        <v>42</v>
      </c>
    </row>
    <row r="4105" spans="8:8" x14ac:dyDescent="0.35">
      <c r="H4105" s="36" t="s">
        <v>42</v>
      </c>
    </row>
    <row r="4106" spans="8:8" x14ac:dyDescent="0.35">
      <c r="H4106" s="36" t="s">
        <v>42</v>
      </c>
    </row>
    <row r="4107" spans="8:8" x14ac:dyDescent="0.35">
      <c r="H4107" s="36" t="s">
        <v>42</v>
      </c>
    </row>
    <row r="4108" spans="8:8" x14ac:dyDescent="0.35">
      <c r="H4108" s="36" t="s">
        <v>42</v>
      </c>
    </row>
    <row r="4109" spans="8:8" x14ac:dyDescent="0.35">
      <c r="H4109" s="36" t="s">
        <v>42</v>
      </c>
    </row>
    <row r="4110" spans="8:8" x14ac:dyDescent="0.35">
      <c r="H4110" s="36" t="s">
        <v>42</v>
      </c>
    </row>
    <row r="4111" spans="8:8" x14ac:dyDescent="0.35">
      <c r="H4111" s="36" t="s">
        <v>42</v>
      </c>
    </row>
    <row r="4112" spans="8:8" x14ac:dyDescent="0.35">
      <c r="H4112" s="36" t="s">
        <v>42</v>
      </c>
    </row>
    <row r="4113" spans="8:8" x14ac:dyDescent="0.35">
      <c r="H4113" s="36" t="s">
        <v>42</v>
      </c>
    </row>
    <row r="4114" spans="8:8" x14ac:dyDescent="0.35">
      <c r="H4114" s="36" t="s">
        <v>42</v>
      </c>
    </row>
    <row r="4115" spans="8:8" x14ac:dyDescent="0.35">
      <c r="H4115" s="36" t="s">
        <v>42</v>
      </c>
    </row>
    <row r="4116" spans="8:8" x14ac:dyDescent="0.35">
      <c r="H4116" s="36" t="s">
        <v>42</v>
      </c>
    </row>
    <row r="4117" spans="8:8" x14ac:dyDescent="0.35">
      <c r="H4117" s="36" t="s">
        <v>42</v>
      </c>
    </row>
    <row r="4118" spans="8:8" x14ac:dyDescent="0.35">
      <c r="H4118" s="36" t="s">
        <v>42</v>
      </c>
    </row>
    <row r="4119" spans="8:8" x14ac:dyDescent="0.35">
      <c r="H4119" s="36" t="s">
        <v>42</v>
      </c>
    </row>
    <row r="4120" spans="8:8" x14ac:dyDescent="0.35">
      <c r="H4120" s="36" t="s">
        <v>42</v>
      </c>
    </row>
    <row r="4121" spans="8:8" x14ac:dyDescent="0.35">
      <c r="H4121" s="36" t="s">
        <v>42</v>
      </c>
    </row>
    <row r="4122" spans="8:8" x14ac:dyDescent="0.35">
      <c r="H4122" s="36" t="s">
        <v>42</v>
      </c>
    </row>
    <row r="4123" spans="8:8" x14ac:dyDescent="0.35">
      <c r="H4123" s="36" t="s">
        <v>42</v>
      </c>
    </row>
    <row r="4124" spans="8:8" x14ac:dyDescent="0.35">
      <c r="H4124" s="36" t="s">
        <v>42</v>
      </c>
    </row>
    <row r="4125" spans="8:8" x14ac:dyDescent="0.35">
      <c r="H4125" s="36" t="s">
        <v>42</v>
      </c>
    </row>
    <row r="4126" spans="8:8" x14ac:dyDescent="0.35">
      <c r="H4126" s="36" t="s">
        <v>42</v>
      </c>
    </row>
    <row r="4127" spans="8:8" x14ac:dyDescent="0.35">
      <c r="H4127" s="36" t="s">
        <v>42</v>
      </c>
    </row>
    <row r="4128" spans="8:8" x14ac:dyDescent="0.35">
      <c r="H4128" s="36" t="s">
        <v>42</v>
      </c>
    </row>
    <row r="4129" spans="8:8" x14ac:dyDescent="0.35">
      <c r="H4129" s="36" t="s">
        <v>42</v>
      </c>
    </row>
    <row r="4130" spans="8:8" x14ac:dyDescent="0.35">
      <c r="H4130" s="36" t="s">
        <v>42</v>
      </c>
    </row>
    <row r="4131" spans="8:8" x14ac:dyDescent="0.35">
      <c r="H4131" s="36" t="s">
        <v>42</v>
      </c>
    </row>
    <row r="4132" spans="8:8" x14ac:dyDescent="0.35">
      <c r="H4132" s="36" t="s">
        <v>42</v>
      </c>
    </row>
    <row r="4133" spans="8:8" x14ac:dyDescent="0.35">
      <c r="H4133" s="36" t="s">
        <v>42</v>
      </c>
    </row>
    <row r="4134" spans="8:8" x14ac:dyDescent="0.35">
      <c r="H4134" s="36" t="s">
        <v>42</v>
      </c>
    </row>
    <row r="4135" spans="8:8" x14ac:dyDescent="0.35">
      <c r="H4135" s="36" t="s">
        <v>42</v>
      </c>
    </row>
    <row r="4136" spans="8:8" x14ac:dyDescent="0.35">
      <c r="H4136" s="36" t="s">
        <v>42</v>
      </c>
    </row>
    <row r="4137" spans="8:8" x14ac:dyDescent="0.35">
      <c r="H4137" s="36" t="s">
        <v>42</v>
      </c>
    </row>
    <row r="4138" spans="8:8" x14ac:dyDescent="0.35">
      <c r="H4138" s="36" t="s">
        <v>42</v>
      </c>
    </row>
    <row r="4139" spans="8:8" x14ac:dyDescent="0.35">
      <c r="H4139" s="36" t="s">
        <v>42</v>
      </c>
    </row>
    <row r="4140" spans="8:8" x14ac:dyDescent="0.35">
      <c r="H4140" s="36" t="s">
        <v>42</v>
      </c>
    </row>
    <row r="4141" spans="8:8" x14ac:dyDescent="0.35">
      <c r="H4141" s="36" t="s">
        <v>42</v>
      </c>
    </row>
    <row r="4142" spans="8:8" x14ac:dyDescent="0.35">
      <c r="H4142" s="36" t="s">
        <v>42</v>
      </c>
    </row>
    <row r="4143" spans="8:8" x14ac:dyDescent="0.35">
      <c r="H4143" s="36" t="s">
        <v>42</v>
      </c>
    </row>
    <row r="4144" spans="8:8" x14ac:dyDescent="0.35">
      <c r="H4144" s="36" t="s">
        <v>42</v>
      </c>
    </row>
    <row r="4145" spans="8:8" x14ac:dyDescent="0.35">
      <c r="H4145" s="36" t="s">
        <v>42</v>
      </c>
    </row>
    <row r="4146" spans="8:8" x14ac:dyDescent="0.35">
      <c r="H4146" s="36" t="s">
        <v>42</v>
      </c>
    </row>
    <row r="4147" spans="8:8" x14ac:dyDescent="0.35">
      <c r="H4147" s="36" t="s">
        <v>42</v>
      </c>
    </row>
    <row r="4148" spans="8:8" x14ac:dyDescent="0.35">
      <c r="H4148" s="36" t="s">
        <v>42</v>
      </c>
    </row>
    <row r="4149" spans="8:8" x14ac:dyDescent="0.35">
      <c r="H4149" s="36" t="s">
        <v>42</v>
      </c>
    </row>
    <row r="4150" spans="8:8" x14ac:dyDescent="0.35">
      <c r="H4150" s="36" t="s">
        <v>42</v>
      </c>
    </row>
    <row r="4151" spans="8:8" x14ac:dyDescent="0.35">
      <c r="H4151" s="36" t="s">
        <v>42</v>
      </c>
    </row>
    <row r="4152" spans="8:8" x14ac:dyDescent="0.35">
      <c r="H4152" s="36" t="s">
        <v>42</v>
      </c>
    </row>
    <row r="4153" spans="8:8" x14ac:dyDescent="0.35">
      <c r="H4153" s="36" t="s">
        <v>42</v>
      </c>
    </row>
    <row r="4154" spans="8:8" x14ac:dyDescent="0.35">
      <c r="H4154" s="36" t="s">
        <v>42</v>
      </c>
    </row>
    <row r="4155" spans="8:8" x14ac:dyDescent="0.35">
      <c r="H4155" s="36" t="s">
        <v>42</v>
      </c>
    </row>
    <row r="4156" spans="8:8" x14ac:dyDescent="0.35">
      <c r="H4156" s="36" t="s">
        <v>42</v>
      </c>
    </row>
    <row r="4157" spans="8:8" x14ac:dyDescent="0.35">
      <c r="H4157" s="36" t="s">
        <v>42</v>
      </c>
    </row>
    <row r="4158" spans="8:8" x14ac:dyDescent="0.35">
      <c r="H4158" s="36" t="s">
        <v>42</v>
      </c>
    </row>
    <row r="4159" spans="8:8" x14ac:dyDescent="0.35">
      <c r="H4159" s="36" t="s">
        <v>42</v>
      </c>
    </row>
    <row r="4160" spans="8:8" x14ac:dyDescent="0.35">
      <c r="H4160" s="36" t="s">
        <v>42</v>
      </c>
    </row>
    <row r="4161" spans="8:8" x14ac:dyDescent="0.35">
      <c r="H4161" s="36" t="s">
        <v>42</v>
      </c>
    </row>
    <row r="4162" spans="8:8" x14ac:dyDescent="0.35">
      <c r="H4162" s="36" t="s">
        <v>42</v>
      </c>
    </row>
    <row r="4163" spans="8:8" x14ac:dyDescent="0.35">
      <c r="H4163" s="36" t="s">
        <v>42</v>
      </c>
    </row>
    <row r="4164" spans="8:8" x14ac:dyDescent="0.35">
      <c r="H4164" s="36" t="s">
        <v>42</v>
      </c>
    </row>
    <row r="4165" spans="8:8" x14ac:dyDescent="0.35">
      <c r="H4165" s="36" t="s">
        <v>42</v>
      </c>
    </row>
    <row r="4166" spans="8:8" x14ac:dyDescent="0.35">
      <c r="H4166" s="36" t="s">
        <v>42</v>
      </c>
    </row>
    <row r="4167" spans="8:8" x14ac:dyDescent="0.35">
      <c r="H4167" s="36" t="s">
        <v>42</v>
      </c>
    </row>
    <row r="4168" spans="8:8" x14ac:dyDescent="0.35">
      <c r="H4168" s="36" t="s">
        <v>42</v>
      </c>
    </row>
    <row r="4169" spans="8:8" x14ac:dyDescent="0.35">
      <c r="H4169" s="36" t="s">
        <v>42</v>
      </c>
    </row>
    <row r="4170" spans="8:8" x14ac:dyDescent="0.35">
      <c r="H4170" s="36" t="s">
        <v>42</v>
      </c>
    </row>
    <row r="4171" spans="8:8" x14ac:dyDescent="0.35">
      <c r="H4171" s="36" t="s">
        <v>42</v>
      </c>
    </row>
    <row r="4172" spans="8:8" x14ac:dyDescent="0.35">
      <c r="H4172" s="36" t="s">
        <v>42</v>
      </c>
    </row>
    <row r="4173" spans="8:8" x14ac:dyDescent="0.35">
      <c r="H4173" s="36" t="s">
        <v>42</v>
      </c>
    </row>
    <row r="4174" spans="8:8" x14ac:dyDescent="0.35">
      <c r="H4174" s="36" t="s">
        <v>42</v>
      </c>
    </row>
    <row r="4175" spans="8:8" x14ac:dyDescent="0.35">
      <c r="H4175" s="36" t="s">
        <v>42</v>
      </c>
    </row>
    <row r="4176" spans="8:8" x14ac:dyDescent="0.35">
      <c r="H4176" s="36" t="s">
        <v>42</v>
      </c>
    </row>
    <row r="4177" spans="8:8" x14ac:dyDescent="0.35">
      <c r="H4177" s="36" t="s">
        <v>42</v>
      </c>
    </row>
    <row r="4178" spans="8:8" x14ac:dyDescent="0.35">
      <c r="H4178" s="36" t="s">
        <v>42</v>
      </c>
    </row>
    <row r="4179" spans="8:8" x14ac:dyDescent="0.35">
      <c r="H4179" s="36" t="s">
        <v>42</v>
      </c>
    </row>
    <row r="4180" spans="8:8" x14ac:dyDescent="0.35">
      <c r="H4180" s="36" t="s">
        <v>42</v>
      </c>
    </row>
    <row r="4181" spans="8:8" x14ac:dyDescent="0.35">
      <c r="H4181" s="36" t="s">
        <v>42</v>
      </c>
    </row>
    <row r="4182" spans="8:8" x14ac:dyDescent="0.35">
      <c r="H4182" s="36" t="s">
        <v>42</v>
      </c>
    </row>
    <row r="4183" spans="8:8" x14ac:dyDescent="0.35">
      <c r="H4183" s="36" t="s">
        <v>42</v>
      </c>
    </row>
    <row r="4184" spans="8:8" x14ac:dyDescent="0.35">
      <c r="H4184" s="36" t="s">
        <v>42</v>
      </c>
    </row>
    <row r="4185" spans="8:8" x14ac:dyDescent="0.35">
      <c r="H4185" s="36" t="s">
        <v>42</v>
      </c>
    </row>
    <row r="4186" spans="8:8" x14ac:dyDescent="0.35">
      <c r="H4186" s="36" t="s">
        <v>42</v>
      </c>
    </row>
    <row r="4187" spans="8:8" x14ac:dyDescent="0.35">
      <c r="H4187" s="36" t="s">
        <v>42</v>
      </c>
    </row>
    <row r="4188" spans="8:8" x14ac:dyDescent="0.35">
      <c r="H4188" s="36" t="s">
        <v>42</v>
      </c>
    </row>
    <row r="4189" spans="8:8" x14ac:dyDescent="0.35">
      <c r="H4189" s="36" t="s">
        <v>42</v>
      </c>
    </row>
    <row r="4190" spans="8:8" x14ac:dyDescent="0.35">
      <c r="H4190" s="36" t="s">
        <v>42</v>
      </c>
    </row>
    <row r="4191" spans="8:8" x14ac:dyDescent="0.35">
      <c r="H4191" s="36" t="s">
        <v>42</v>
      </c>
    </row>
    <row r="4192" spans="8:8" x14ac:dyDescent="0.35">
      <c r="H4192" s="36" t="s">
        <v>42</v>
      </c>
    </row>
    <row r="4193" spans="8:8" x14ac:dyDescent="0.35">
      <c r="H4193" s="36" t="s">
        <v>42</v>
      </c>
    </row>
    <row r="4194" spans="8:8" x14ac:dyDescent="0.35">
      <c r="H4194" s="36" t="s">
        <v>42</v>
      </c>
    </row>
    <row r="4195" spans="8:8" x14ac:dyDescent="0.35">
      <c r="H4195" s="36" t="s">
        <v>42</v>
      </c>
    </row>
    <row r="4196" spans="8:8" x14ac:dyDescent="0.35">
      <c r="H4196" s="36" t="s">
        <v>42</v>
      </c>
    </row>
    <row r="4197" spans="8:8" x14ac:dyDescent="0.35">
      <c r="H4197" s="36" t="s">
        <v>42</v>
      </c>
    </row>
    <row r="4198" spans="8:8" x14ac:dyDescent="0.35">
      <c r="H4198" s="36" t="s">
        <v>42</v>
      </c>
    </row>
    <row r="4199" spans="8:8" x14ac:dyDescent="0.35">
      <c r="H4199" s="36" t="s">
        <v>42</v>
      </c>
    </row>
    <row r="4200" spans="8:8" x14ac:dyDescent="0.35">
      <c r="H4200" s="36" t="s">
        <v>42</v>
      </c>
    </row>
    <row r="4201" spans="8:8" x14ac:dyDescent="0.35">
      <c r="H4201" s="36" t="s">
        <v>42</v>
      </c>
    </row>
    <row r="4202" spans="8:8" x14ac:dyDescent="0.35">
      <c r="H4202" s="36" t="s">
        <v>42</v>
      </c>
    </row>
    <row r="4203" spans="8:8" x14ac:dyDescent="0.35">
      <c r="H4203" s="36" t="s">
        <v>42</v>
      </c>
    </row>
    <row r="4204" spans="8:8" x14ac:dyDescent="0.35">
      <c r="H4204" s="36" t="s">
        <v>42</v>
      </c>
    </row>
    <row r="4205" spans="8:8" x14ac:dyDescent="0.35">
      <c r="H4205" s="36" t="s">
        <v>42</v>
      </c>
    </row>
    <row r="4206" spans="8:8" x14ac:dyDescent="0.35">
      <c r="H4206" s="36" t="s">
        <v>42</v>
      </c>
    </row>
    <row r="4207" spans="8:8" x14ac:dyDescent="0.35">
      <c r="H4207" s="36" t="s">
        <v>42</v>
      </c>
    </row>
    <row r="4208" spans="8:8" x14ac:dyDescent="0.35">
      <c r="H4208" s="36" t="s">
        <v>42</v>
      </c>
    </row>
    <row r="4209" spans="8:8" x14ac:dyDescent="0.35">
      <c r="H4209" s="36" t="s">
        <v>42</v>
      </c>
    </row>
    <row r="4210" spans="8:8" x14ac:dyDescent="0.35">
      <c r="H4210" s="36" t="s">
        <v>42</v>
      </c>
    </row>
    <row r="4211" spans="8:8" x14ac:dyDescent="0.35">
      <c r="H4211" s="36" t="s">
        <v>42</v>
      </c>
    </row>
    <row r="4212" spans="8:8" x14ac:dyDescent="0.35">
      <c r="H4212" s="36" t="s">
        <v>42</v>
      </c>
    </row>
    <row r="4213" spans="8:8" x14ac:dyDescent="0.35">
      <c r="H4213" s="36" t="s">
        <v>42</v>
      </c>
    </row>
    <row r="4214" spans="8:8" x14ac:dyDescent="0.35">
      <c r="H4214" s="36" t="s">
        <v>42</v>
      </c>
    </row>
    <row r="4215" spans="8:8" x14ac:dyDescent="0.35">
      <c r="H4215" s="36" t="s">
        <v>42</v>
      </c>
    </row>
    <row r="4216" spans="8:8" x14ac:dyDescent="0.35">
      <c r="H4216" s="36" t="s">
        <v>42</v>
      </c>
    </row>
    <row r="4217" spans="8:8" x14ac:dyDescent="0.35">
      <c r="H4217" s="36" t="s">
        <v>42</v>
      </c>
    </row>
    <row r="4218" spans="8:8" x14ac:dyDescent="0.35">
      <c r="H4218" s="36" t="s">
        <v>42</v>
      </c>
    </row>
    <row r="4219" spans="8:8" x14ac:dyDescent="0.35">
      <c r="H4219" s="36" t="s">
        <v>42</v>
      </c>
    </row>
    <row r="4220" spans="8:8" x14ac:dyDescent="0.35">
      <c r="H4220" s="36" t="s">
        <v>42</v>
      </c>
    </row>
    <row r="4221" spans="8:8" x14ac:dyDescent="0.35">
      <c r="H4221" s="36" t="s">
        <v>42</v>
      </c>
    </row>
    <row r="4222" spans="8:8" x14ac:dyDescent="0.35">
      <c r="H4222" s="36" t="s">
        <v>42</v>
      </c>
    </row>
    <row r="4223" spans="8:8" x14ac:dyDescent="0.35">
      <c r="H4223" s="36" t="s">
        <v>42</v>
      </c>
    </row>
    <row r="4224" spans="8:8" x14ac:dyDescent="0.35">
      <c r="H4224" s="36" t="s">
        <v>42</v>
      </c>
    </row>
    <row r="4225" spans="8:8" x14ac:dyDescent="0.35">
      <c r="H4225" s="36" t="s">
        <v>42</v>
      </c>
    </row>
    <row r="4226" spans="8:8" x14ac:dyDescent="0.35">
      <c r="H4226" s="36" t="s">
        <v>42</v>
      </c>
    </row>
    <row r="4227" spans="8:8" x14ac:dyDescent="0.35">
      <c r="H4227" s="36" t="s">
        <v>42</v>
      </c>
    </row>
    <row r="4228" spans="8:8" x14ac:dyDescent="0.35">
      <c r="H4228" s="36" t="s">
        <v>42</v>
      </c>
    </row>
    <row r="4229" spans="8:8" x14ac:dyDescent="0.35">
      <c r="H4229" s="36" t="s">
        <v>42</v>
      </c>
    </row>
    <row r="4230" spans="8:8" x14ac:dyDescent="0.35">
      <c r="H4230" s="36" t="s">
        <v>42</v>
      </c>
    </row>
    <row r="4231" spans="8:8" x14ac:dyDescent="0.35">
      <c r="H4231" s="36" t="s">
        <v>42</v>
      </c>
    </row>
    <row r="4232" spans="8:8" x14ac:dyDescent="0.35">
      <c r="H4232" s="36" t="s">
        <v>42</v>
      </c>
    </row>
    <row r="4233" spans="8:8" x14ac:dyDescent="0.35">
      <c r="H4233" s="36" t="s">
        <v>42</v>
      </c>
    </row>
    <row r="4234" spans="8:8" x14ac:dyDescent="0.35">
      <c r="H4234" s="36" t="s">
        <v>42</v>
      </c>
    </row>
    <row r="4235" spans="8:8" x14ac:dyDescent="0.35">
      <c r="H4235" s="36" t="s">
        <v>42</v>
      </c>
    </row>
    <row r="4236" spans="8:8" x14ac:dyDescent="0.35">
      <c r="H4236" s="36" t="s">
        <v>42</v>
      </c>
    </row>
    <row r="4237" spans="8:8" x14ac:dyDescent="0.35">
      <c r="H4237" s="36" t="s">
        <v>42</v>
      </c>
    </row>
    <row r="4238" spans="8:8" x14ac:dyDescent="0.35">
      <c r="H4238" s="36" t="s">
        <v>42</v>
      </c>
    </row>
    <row r="4239" spans="8:8" x14ac:dyDescent="0.35">
      <c r="H4239" s="36" t="s">
        <v>42</v>
      </c>
    </row>
    <row r="4240" spans="8:8" x14ac:dyDescent="0.35">
      <c r="H4240" s="36" t="s">
        <v>42</v>
      </c>
    </row>
    <row r="4241" spans="8:8" x14ac:dyDescent="0.35">
      <c r="H4241" s="36" t="s">
        <v>42</v>
      </c>
    </row>
    <row r="4242" spans="8:8" x14ac:dyDescent="0.35">
      <c r="H4242" s="36" t="s">
        <v>42</v>
      </c>
    </row>
    <row r="4243" spans="8:8" x14ac:dyDescent="0.35">
      <c r="H4243" s="36" t="s">
        <v>42</v>
      </c>
    </row>
    <row r="4244" spans="8:8" x14ac:dyDescent="0.35">
      <c r="H4244" s="36" t="s">
        <v>42</v>
      </c>
    </row>
    <row r="4245" spans="8:8" x14ac:dyDescent="0.35">
      <c r="H4245" s="36" t="s">
        <v>42</v>
      </c>
    </row>
    <row r="4246" spans="8:8" x14ac:dyDescent="0.35">
      <c r="H4246" s="36" t="s">
        <v>42</v>
      </c>
    </row>
    <row r="4247" spans="8:8" x14ac:dyDescent="0.35">
      <c r="H4247" s="36" t="s">
        <v>42</v>
      </c>
    </row>
    <row r="4248" spans="8:8" x14ac:dyDescent="0.35">
      <c r="H4248" s="36" t="s">
        <v>42</v>
      </c>
    </row>
    <row r="4249" spans="8:8" x14ac:dyDescent="0.35">
      <c r="H4249" s="36" t="s">
        <v>42</v>
      </c>
    </row>
    <row r="4250" spans="8:8" x14ac:dyDescent="0.35">
      <c r="H4250" s="36" t="s">
        <v>42</v>
      </c>
    </row>
    <row r="4251" spans="8:8" x14ac:dyDescent="0.35">
      <c r="H4251" s="36" t="s">
        <v>42</v>
      </c>
    </row>
    <row r="4252" spans="8:8" x14ac:dyDescent="0.35">
      <c r="H4252" s="36" t="s">
        <v>42</v>
      </c>
    </row>
    <row r="4253" spans="8:8" x14ac:dyDescent="0.35">
      <c r="H4253" s="36" t="s">
        <v>42</v>
      </c>
    </row>
    <row r="4254" spans="8:8" x14ac:dyDescent="0.35">
      <c r="H4254" s="36" t="s">
        <v>42</v>
      </c>
    </row>
    <row r="4255" spans="8:8" x14ac:dyDescent="0.35">
      <c r="H4255" s="36" t="s">
        <v>42</v>
      </c>
    </row>
    <row r="4256" spans="8:8" x14ac:dyDescent="0.35">
      <c r="H4256" s="36" t="s">
        <v>42</v>
      </c>
    </row>
    <row r="4257" spans="8:8" x14ac:dyDescent="0.35">
      <c r="H4257" s="36" t="s">
        <v>42</v>
      </c>
    </row>
    <row r="4258" spans="8:8" x14ac:dyDescent="0.35">
      <c r="H4258" s="36" t="s">
        <v>42</v>
      </c>
    </row>
    <row r="4259" spans="8:8" x14ac:dyDescent="0.35">
      <c r="H4259" s="36" t="s">
        <v>42</v>
      </c>
    </row>
    <row r="4260" spans="8:8" x14ac:dyDescent="0.35">
      <c r="H4260" s="36" t="s">
        <v>42</v>
      </c>
    </row>
    <row r="4261" spans="8:8" x14ac:dyDescent="0.35">
      <c r="H4261" s="36" t="s">
        <v>42</v>
      </c>
    </row>
    <row r="4262" spans="8:8" x14ac:dyDescent="0.35">
      <c r="H4262" s="36" t="s">
        <v>42</v>
      </c>
    </row>
    <row r="4263" spans="8:8" x14ac:dyDescent="0.35">
      <c r="H4263" s="36" t="s">
        <v>42</v>
      </c>
    </row>
    <row r="4264" spans="8:8" x14ac:dyDescent="0.35">
      <c r="H4264" s="36" t="s">
        <v>42</v>
      </c>
    </row>
    <row r="4265" spans="8:8" x14ac:dyDescent="0.35">
      <c r="H4265" s="36" t="s">
        <v>42</v>
      </c>
    </row>
    <row r="4266" spans="8:8" x14ac:dyDescent="0.35">
      <c r="H4266" s="36" t="s">
        <v>42</v>
      </c>
    </row>
    <row r="4267" spans="8:8" x14ac:dyDescent="0.35">
      <c r="H4267" s="36" t="s">
        <v>42</v>
      </c>
    </row>
    <row r="4268" spans="8:8" x14ac:dyDescent="0.35">
      <c r="H4268" s="36" t="s">
        <v>42</v>
      </c>
    </row>
    <row r="4269" spans="8:8" x14ac:dyDescent="0.35">
      <c r="H4269" s="36" t="s">
        <v>42</v>
      </c>
    </row>
    <row r="4270" spans="8:8" x14ac:dyDescent="0.35">
      <c r="H4270" s="36" t="s">
        <v>42</v>
      </c>
    </row>
    <row r="4271" spans="8:8" x14ac:dyDescent="0.35">
      <c r="H4271" s="36" t="s">
        <v>42</v>
      </c>
    </row>
    <row r="4272" spans="8:8" x14ac:dyDescent="0.35">
      <c r="H4272" s="36" t="s">
        <v>42</v>
      </c>
    </row>
    <row r="4273" spans="8:8" x14ac:dyDescent="0.35">
      <c r="H4273" s="36" t="s">
        <v>42</v>
      </c>
    </row>
    <row r="4274" spans="8:8" x14ac:dyDescent="0.35">
      <c r="H4274" s="36" t="s">
        <v>42</v>
      </c>
    </row>
    <row r="4275" spans="8:8" x14ac:dyDescent="0.35">
      <c r="H4275" s="36" t="s">
        <v>42</v>
      </c>
    </row>
    <row r="4276" spans="8:8" x14ac:dyDescent="0.35">
      <c r="H4276" s="36" t="s">
        <v>42</v>
      </c>
    </row>
    <row r="4277" spans="8:8" x14ac:dyDescent="0.35">
      <c r="H4277" s="36" t="s">
        <v>42</v>
      </c>
    </row>
    <row r="4278" spans="8:8" x14ac:dyDescent="0.35">
      <c r="H4278" s="36" t="s">
        <v>42</v>
      </c>
    </row>
    <row r="4279" spans="8:8" x14ac:dyDescent="0.35">
      <c r="H4279" s="36" t="s">
        <v>42</v>
      </c>
    </row>
    <row r="4280" spans="8:8" x14ac:dyDescent="0.35">
      <c r="H4280" s="36" t="s">
        <v>42</v>
      </c>
    </row>
    <row r="4281" spans="8:8" x14ac:dyDescent="0.35">
      <c r="H4281" s="36" t="s">
        <v>42</v>
      </c>
    </row>
  </sheetData>
  <dataValidations count="1">
    <dataValidation type="list" allowBlank="1" showInputMessage="1" showErrorMessage="1" sqref="K3">
      <formula1>"Tabla_CLIENTES[NOMBRE]"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FF0000"/>
  </sheetPr>
  <dimension ref="A1:H3"/>
  <sheetViews>
    <sheetView topLeftCell="A2" workbookViewId="0">
      <selection activeCell="C14" sqref="C14"/>
    </sheetView>
  </sheetViews>
  <sheetFormatPr baseColWidth="10" defaultRowHeight="14.5" x14ac:dyDescent="0.35"/>
  <cols>
    <col min="1" max="1" width="10.81640625" style="36"/>
    <col min="2" max="2" width="10.453125" style="36" bestFit="1" customWidth="1"/>
    <col min="3" max="3" width="30.7265625" style="36" bestFit="1" customWidth="1"/>
    <col min="4" max="4" width="22" style="36" customWidth="1"/>
    <col min="7" max="7" width="14.36328125" customWidth="1"/>
  </cols>
  <sheetData>
    <row r="1" spans="1:8" ht="15" thickBot="1" x14ac:dyDescent="0.4">
      <c r="A1" s="109" t="s">
        <v>303</v>
      </c>
      <c r="B1" s="109" t="s">
        <v>304</v>
      </c>
      <c r="C1" s="109" t="s">
        <v>305</v>
      </c>
      <c r="D1" s="109" t="s">
        <v>306</v>
      </c>
      <c r="G1" t="s">
        <v>360</v>
      </c>
      <c r="H1" s="130">
        <f>MAX(Tabla_DB_Facturas[numero])</f>
        <v>3</v>
      </c>
    </row>
    <row r="2" spans="1:8" x14ac:dyDescent="0.35">
      <c r="A2" s="110">
        <v>1</v>
      </c>
      <c r="B2" s="111"/>
      <c r="C2" s="111"/>
      <c r="D2" s="110"/>
    </row>
    <row r="3" spans="1:8" x14ac:dyDescent="0.35">
      <c r="A3" s="173">
        <v>3</v>
      </c>
      <c r="B3" s="174">
        <v>44088</v>
      </c>
      <c r="C3" s="174" t="s">
        <v>416</v>
      </c>
      <c r="D3" s="173"/>
    </row>
  </sheetData>
  <sheetProtection insertColumns="0" insertRows="0" deleteColumns="0" deleteRows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G12"/>
  <sheetViews>
    <sheetView workbookViewId="0">
      <selection activeCell="B5" sqref="B5:G12"/>
    </sheetView>
  </sheetViews>
  <sheetFormatPr baseColWidth="10" defaultRowHeight="14.5" x14ac:dyDescent="0.35"/>
  <cols>
    <col min="3" max="3" width="33.453125" customWidth="1"/>
    <col min="6" max="6" width="13.26953125" customWidth="1"/>
    <col min="7" max="7" width="16" customWidth="1"/>
  </cols>
  <sheetData>
    <row r="1" spans="1:7" ht="15" thickBot="1" x14ac:dyDescent="0.4">
      <c r="A1" s="114" t="s">
        <v>314</v>
      </c>
      <c r="B1" s="114" t="s">
        <v>315</v>
      </c>
      <c r="C1" s="115" t="s">
        <v>316</v>
      </c>
      <c r="D1" s="116" t="s">
        <v>317</v>
      </c>
      <c r="E1" s="117" t="s">
        <v>318</v>
      </c>
      <c r="F1" s="116" t="s">
        <v>1</v>
      </c>
      <c r="G1" s="118" t="s">
        <v>319</v>
      </c>
    </row>
    <row r="5" spans="1:7" x14ac:dyDescent="0.35">
      <c r="A5">
        <v>3</v>
      </c>
      <c r="B5" t="s">
        <v>297</v>
      </c>
      <c r="C5" t="s">
        <v>289</v>
      </c>
      <c r="G5" t="s">
        <v>359</v>
      </c>
    </row>
    <row r="6" spans="1:7" x14ac:dyDescent="0.35">
      <c r="A6">
        <v>3</v>
      </c>
      <c r="B6" t="s">
        <v>297</v>
      </c>
      <c r="C6" t="s">
        <v>379</v>
      </c>
      <c r="D6" t="s">
        <v>371</v>
      </c>
      <c r="E6">
        <v>1</v>
      </c>
      <c r="F6">
        <v>3</v>
      </c>
      <c r="G6">
        <v>3</v>
      </c>
    </row>
    <row r="7" spans="1:7" x14ac:dyDescent="0.35">
      <c r="A7">
        <v>3</v>
      </c>
      <c r="B7" t="s">
        <v>297</v>
      </c>
      <c r="C7" t="s">
        <v>381</v>
      </c>
      <c r="D7" t="s">
        <v>458</v>
      </c>
      <c r="E7">
        <v>1</v>
      </c>
      <c r="F7">
        <v>10</v>
      </c>
      <c r="G7">
        <v>10</v>
      </c>
    </row>
    <row r="8" spans="1:7" x14ac:dyDescent="0.35">
      <c r="A8">
        <v>3</v>
      </c>
      <c r="B8" t="s">
        <v>297</v>
      </c>
      <c r="C8" t="s">
        <v>384</v>
      </c>
      <c r="D8" t="s">
        <v>459</v>
      </c>
      <c r="E8">
        <v>1</v>
      </c>
      <c r="F8">
        <v>2</v>
      </c>
      <c r="G8">
        <v>2</v>
      </c>
    </row>
    <row r="9" spans="1:7" x14ac:dyDescent="0.35">
      <c r="A9">
        <v>3</v>
      </c>
      <c r="B9" t="s">
        <v>297</v>
      </c>
      <c r="C9" t="s">
        <v>455</v>
      </c>
      <c r="D9" t="s">
        <v>457</v>
      </c>
      <c r="E9">
        <v>2</v>
      </c>
      <c r="F9">
        <v>22</v>
      </c>
      <c r="G9">
        <v>44</v>
      </c>
    </row>
    <row r="10" spans="1:7" x14ac:dyDescent="0.35">
      <c r="A10">
        <v>3</v>
      </c>
      <c r="B10" t="s">
        <v>291</v>
      </c>
      <c r="C10" t="s">
        <v>286</v>
      </c>
      <c r="G10" t="s">
        <v>359</v>
      </c>
    </row>
    <row r="11" spans="1:7" x14ac:dyDescent="0.35">
      <c r="A11">
        <v>3</v>
      </c>
      <c r="B11" t="s">
        <v>291</v>
      </c>
      <c r="C11" t="s">
        <v>455</v>
      </c>
      <c r="D11" t="s">
        <v>461</v>
      </c>
      <c r="E11">
        <v>1</v>
      </c>
      <c r="F11">
        <v>22</v>
      </c>
      <c r="G11">
        <v>22</v>
      </c>
    </row>
    <row r="12" spans="1:7" x14ac:dyDescent="0.35">
      <c r="A12">
        <v>3</v>
      </c>
      <c r="B12" t="s">
        <v>291</v>
      </c>
      <c r="C12" t="s">
        <v>456</v>
      </c>
      <c r="D12" t="s">
        <v>460</v>
      </c>
      <c r="E12">
        <v>2</v>
      </c>
      <c r="F12">
        <v>11</v>
      </c>
      <c r="G12">
        <v>22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3:C5"/>
  <sheetViews>
    <sheetView workbookViewId="0">
      <selection activeCell="C6" sqref="C6"/>
    </sheetView>
  </sheetViews>
  <sheetFormatPr baseColWidth="10" defaultRowHeight="14.5" x14ac:dyDescent="0.35"/>
  <cols>
    <col min="1" max="1" width="16.54296875" customWidth="1"/>
    <col min="2" max="2" width="13.08984375" customWidth="1"/>
    <col min="3" max="3" width="12.453125" customWidth="1"/>
    <col min="4" max="6" width="1.81640625" customWidth="1"/>
    <col min="7" max="21" width="2.81640625" customWidth="1"/>
    <col min="22" max="23" width="3.81640625" customWidth="1"/>
    <col min="24" max="24" width="1.81640625" customWidth="1"/>
    <col min="25" max="25" width="10.1796875" customWidth="1"/>
    <col min="26" max="26" width="12.453125" customWidth="1"/>
    <col min="27" max="27" width="1.81640625" customWidth="1"/>
    <col min="28" max="28" width="2.81640625" customWidth="1"/>
    <col min="29" max="29" width="1.81640625" customWidth="1"/>
    <col min="30" max="35" width="2.81640625" customWidth="1"/>
    <col min="36" max="36" width="3.81640625" customWidth="1"/>
    <col min="37" max="38" width="2.81640625" customWidth="1"/>
    <col min="39" max="39" width="3.81640625" customWidth="1"/>
    <col min="40" max="41" width="2.81640625" customWidth="1"/>
    <col min="42" max="42" width="3.81640625" customWidth="1"/>
    <col min="43" max="44" width="2.81640625" customWidth="1"/>
    <col min="45" max="47" width="3.81640625" customWidth="1"/>
    <col min="48" max="48" width="1.81640625" customWidth="1"/>
    <col min="49" max="49" width="10.1796875" customWidth="1"/>
    <col min="50" max="50" width="17.90625" bestFit="1" customWidth="1"/>
    <col min="51" max="51" width="17.26953125" bestFit="1" customWidth="1"/>
  </cols>
  <sheetData>
    <row r="3" spans="1:3" x14ac:dyDescent="0.35">
      <c r="A3" s="143" t="s">
        <v>374</v>
      </c>
      <c r="B3" t="s">
        <v>375</v>
      </c>
      <c r="C3" t="s">
        <v>376</v>
      </c>
    </row>
    <row r="4" spans="1:3" x14ac:dyDescent="0.35">
      <c r="A4" s="144" t="s">
        <v>372</v>
      </c>
      <c r="B4" s="145"/>
      <c r="C4" s="145"/>
    </row>
    <row r="5" spans="1:3" x14ac:dyDescent="0.35">
      <c r="A5" s="144" t="s">
        <v>373</v>
      </c>
      <c r="B5" s="145"/>
      <c r="C5" s="14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BB1B8C-FDA1-4475-B7A6-EA6552F5B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Instrucciones</vt:lpstr>
      <vt:lpstr>FACTURA</vt:lpstr>
      <vt:lpstr>TABLA COMIDAS</vt:lpstr>
      <vt:lpstr>CLIENTES</vt:lpstr>
      <vt:lpstr>DB_FACTURAS</vt:lpstr>
      <vt:lpstr>DB_CONCEPTOS</vt:lpstr>
      <vt:lpstr>ANALISIS</vt:lpstr>
      <vt:lpstr>FACTURA!Área_de_impresión</vt:lpstr>
      <vt:lpstr>COMIDA</vt:lpstr>
      <vt:lpstr>Comidas</vt:lpstr>
      <vt:lpstr>FAC_CLIENTE</vt:lpstr>
      <vt:lpstr>FAC_ENVIO_IMPORTE</vt:lpstr>
      <vt:lpstr>FAC_FECHA</vt:lpstr>
      <vt:lpstr>FAC_REFCOMIDA</vt:lpstr>
      <vt:lpstr>FAC_REFERENCIA</vt:lpstr>
      <vt:lpstr>FAC_REFERENCIA2</vt:lpstr>
      <vt:lpstr>NOMBRE_CLIENTES</vt:lpstr>
      <vt:lpstr>VAR_Ultima_Factura</vt:lpstr>
    </vt:vector>
  </TitlesOfParts>
  <Company>PharmaMar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Baez Nunez, Juan Manuel</dc:creator>
  <cp:lastModifiedBy>Baez Nunez, Juan Manuel</cp:lastModifiedBy>
  <cp:lastPrinted>2020-04-13T22:54:43Z</cp:lastPrinted>
  <dcterms:created xsi:type="dcterms:W3CDTF">2020-04-10T21:15:11Z</dcterms:created>
  <dcterms:modified xsi:type="dcterms:W3CDTF">2020-09-14T08:25:40Z</dcterms:modified>
</cp:coreProperties>
</file>